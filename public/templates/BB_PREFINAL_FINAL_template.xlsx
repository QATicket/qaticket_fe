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ain Report (2)" sheetId="1" r:id="rId4"/>
    <sheet state="visible" name="Measurement sheet" sheetId="2" r:id="rId5"/>
    <sheet state="hidden" name="Details of style" sheetId="3" r:id="rId6"/>
    <sheet state="visible" name="Picture Major Defects " sheetId="4" r:id="rId7"/>
    <sheet state="visible" name="Picture Minor Defects" sheetId="5" r:id="rId8"/>
    <sheet state="visible" name="picture accept" sheetId="6" r:id="rId9"/>
    <sheet state="visible" name="Sheet1" sheetId="7" r:id="rId10"/>
  </sheets>
  <definedNames/>
  <calcPr/>
  <extLst>
    <ext uri="GoogleSheetsCustomDataVersion2">
      <go:sheetsCustomData xmlns:go="http://customooxmlschemas.google.com/" r:id="rId11" roundtripDataChecksum="rtHTRh/jQJajg3M+Y2wlJ83jTTRr/kJ20iwickLte84="/>
    </ext>
  </extLst>
</workbook>
</file>

<file path=xl/sharedStrings.xml><?xml version="1.0" encoding="utf-8"?>
<sst xmlns="http://schemas.openxmlformats.org/spreadsheetml/2006/main" count="314" uniqueCount="195">
  <si>
    <t>Details Description</t>
  </si>
  <si>
    <t>Measurement sheet</t>
  </si>
  <si>
    <r>
      <rPr>
        <rFont val="Times New Roman"/>
        <b/>
        <color rgb="FFDD0806"/>
        <sz val="18.0"/>
      </rPr>
      <t xml:space="preserve">                                                                                                                                                           </t>
    </r>
    <r>
      <rPr>
        <rFont val="Times New Roman"/>
        <b/>
        <color rgb="FFDD0806"/>
        <sz val="24.0"/>
      </rPr>
      <t xml:space="preserve">  Picture Major Defects</t>
    </r>
  </si>
  <si>
    <t xml:space="preserve">Customer (KH):  </t>
  </si>
  <si>
    <t>CL-F08</t>
  </si>
  <si>
    <t xml:space="preserve">Style (mã hàng): </t>
  </si>
  <si>
    <t xml:space="preserve">PO :  </t>
  </si>
  <si>
    <t xml:space="preserve">Order Qty (SL) :          </t>
  </si>
  <si>
    <t>Final Inspection Report                                                                                                                                                                   
BIÊN BẢN KIỂM TRA FINAL</t>
  </si>
  <si>
    <t xml:space="preserve">Sample size (SL mẫu) :       </t>
  </si>
  <si>
    <t>MDA# :</t>
  </si>
  <si>
    <t xml:space="preserve"> </t>
  </si>
  <si>
    <t>Shipment date :</t>
  </si>
  <si>
    <t>Date :</t>
  </si>
  <si>
    <t xml:space="preserve">Date (Ngày) : </t>
  </si>
  <si>
    <t xml:space="preserve">Loại kiểm tra : </t>
  </si>
  <si>
    <t>Inline</t>
  </si>
  <si>
    <t>Pre-Final</t>
  </si>
  <si>
    <t>Final</t>
  </si>
  <si>
    <t>AQL 2.5</t>
  </si>
  <si>
    <t>Product - Front</t>
  </si>
  <si>
    <t>Product - Back</t>
  </si>
  <si>
    <t>All colors of  Product</t>
  </si>
  <si>
    <t>Sealer Sample</t>
  </si>
  <si>
    <t>Defect:</t>
  </si>
  <si>
    <t>`</t>
  </si>
  <si>
    <t>Main label</t>
  </si>
  <si>
    <t xml:space="preserve">Care label - Front </t>
  </si>
  <si>
    <t>Care label - Back</t>
  </si>
  <si>
    <t>Swing ticket</t>
  </si>
  <si>
    <t xml:space="preserve">Shipment date :
Ngày xuất </t>
  </si>
  <si>
    <t xml:space="preserve">Inspector :
Người kiểm tra:   </t>
  </si>
  <si>
    <t>Factory Details</t>
  </si>
  <si>
    <t xml:space="preserve"> Supplier : NHA BE</t>
  </si>
  <si>
    <t xml:space="preserve">Fty Name :  </t>
  </si>
  <si>
    <t>Location :  VIET NAM</t>
  </si>
  <si>
    <t>Carton stacking</t>
  </si>
  <si>
    <t>Box end label</t>
  </si>
  <si>
    <t xml:space="preserve">Production status 
Tình trạng SX </t>
  </si>
  <si>
    <t xml:space="preserve">Cutting Qty: 
SL cắt : </t>
  </si>
  <si>
    <t>Sewing Qty: 
SL may:</t>
  </si>
  <si>
    <t>Pressing Qty:
SL ủi, ập:</t>
  </si>
  <si>
    <t>Packing Qty:
SL đóng gói:</t>
  </si>
  <si>
    <t>MATERIALS</t>
  </si>
  <si>
    <t>v</t>
  </si>
  <si>
    <t>X</t>
  </si>
  <si>
    <t>1. Fabric - Vải</t>
  </si>
  <si>
    <t>3. Accesories / Trims - Phụ liệu</t>
  </si>
  <si>
    <t>5. Packing - Đóng gói</t>
  </si>
  <si>
    <t>Fabric Qlty (CL vải chính)</t>
  </si>
  <si>
    <t>Zipper</t>
  </si>
  <si>
    <t>Dây kéo</t>
  </si>
  <si>
    <t>Unit packed - SL đóng</t>
  </si>
  <si>
    <t>Handfeel (Độ cảm nhận)</t>
  </si>
  <si>
    <t>Button/ button hole - Khuy/nút</t>
  </si>
  <si>
    <t>Folding method - Gấp xếp</t>
  </si>
  <si>
    <t xml:space="preserve">Contrast fabric </t>
  </si>
  <si>
    <t>Snap / button - Nút đóng</t>
  </si>
  <si>
    <t>Cardboard size &amp; qlty - CL và size bìa</t>
  </si>
  <si>
    <t>Lining Qlty (CL lót)</t>
  </si>
  <si>
    <t>Rivet - Ri vê</t>
  </si>
  <si>
    <t>Polybag size &amp; qlty - CL và size bao nylon</t>
  </si>
  <si>
    <t>Lining Colour (màu lót)</t>
  </si>
  <si>
    <t>Eyelet</t>
  </si>
  <si>
    <t>Mắt cáo</t>
  </si>
  <si>
    <t>Box size &amp; qlty - CL và size thùng</t>
  </si>
  <si>
    <t>Buckle - Khóa chốt</t>
  </si>
  <si>
    <t>Box end label - Nhãn thùng</t>
  </si>
  <si>
    <t>Piping - Viền</t>
  </si>
  <si>
    <t>Gross weight &lt; 15Kg</t>
  </si>
  <si>
    <t>2. Colours - Màu sắc</t>
  </si>
  <si>
    <t xml:space="preserve">Threads </t>
  </si>
  <si>
    <t>Chỉ</t>
  </si>
  <si>
    <t>Sealing tape - Keo dán thùng</t>
  </si>
  <si>
    <t>Colour as lab dip - So bảng màu</t>
  </si>
  <si>
    <t>Ration pack sticker - Tỷ lệ trên nhãn</t>
  </si>
  <si>
    <t>Matching tones - Tông màu</t>
  </si>
  <si>
    <t>Labels &amp; APPEARANCE</t>
  </si>
  <si>
    <t>Flat Packed - Đóng phẳng</t>
  </si>
  <si>
    <t>Colour fastness - Bền màu</t>
  </si>
  <si>
    <t>Main label - Nhãn chính</t>
  </si>
  <si>
    <t>Hanging goods - Hàng treo</t>
  </si>
  <si>
    <t>Printing - In</t>
  </si>
  <si>
    <t>Size label - Nhãn size</t>
  </si>
  <si>
    <t>Embroidery - Thêu</t>
  </si>
  <si>
    <t>Care label - Nhãn care</t>
  </si>
  <si>
    <t>Shade Band - Ánh màu</t>
  </si>
  <si>
    <t>Hang tag - Nhãn treo</t>
  </si>
  <si>
    <t>Price label - Nhãn giá</t>
  </si>
  <si>
    <t>INSPECTION POINTS( Những Điểm Kiểm Tra )</t>
  </si>
  <si>
    <t>OK</t>
  </si>
  <si>
    <t>Major
Lỗi nặng</t>
  </si>
  <si>
    <t>Minor
Lỗi nhẹ</t>
  </si>
  <si>
    <t>Remarks ( Ghi chú )</t>
  </si>
  <si>
    <t>1. FABRIC DEFECTS / LỖI VẢI</t>
  </si>
  <si>
    <t>A.  Shell - Flaw / Fibre def. / Hole.  Lớp vỏ - xước / lỗi sợi / lủng lỗ. )</t>
  </si>
  <si>
    <t>B. Linning - Flaw / Fibre def. / Hole.( Lớp lót - Xước /Lỗi sợi / Lủng lỗ.)</t>
  </si>
  <si>
    <t>C .Mismatch of  Stripes. (Canh sọc.)</t>
  </si>
  <si>
    <t>D. Puckers/Creases  ( Nhàu/Nhăn/Nếp gấp )</t>
  </si>
  <si>
    <t>E. Shading (Loang màu.)</t>
  </si>
  <si>
    <t>F. Others (Các lỗi khác)</t>
  </si>
  <si>
    <t>2. CONSTRUCTION&amp; STITCHING/LỖI KẾT CẤU &amp; Đ.MAY</t>
  </si>
  <si>
    <t>A. Run of topstitching  ( Lệch đường may diễu )</t>
  </si>
  <si>
    <t xml:space="preserve">B. Seam twisted/puckered/pleated (Đường may vặn/xoắn/nhăn/xếp ly) </t>
  </si>
  <si>
    <t>C. Skip/Broken stitches   ( Bỏ mũi/Đứt chỉ )</t>
  </si>
  <si>
    <t>D.  Tight / Loose tension  (Đường may căng / lỏng chỉ.)</t>
  </si>
  <si>
    <t>E. Seam not straight  (Đ.may không thẳng )</t>
  </si>
  <si>
    <t>F. Stitches per inch/cm  ( Sai số mũi trên 1” hoặc 1 cm.)</t>
  </si>
  <si>
    <t>G. Insecure stitch endings (Lại mũi không đảm bảo.)</t>
  </si>
  <si>
    <t>H .Overlapping stitches (Nối chỉ không trùng )</t>
  </si>
  <si>
    <t>I. Uneven doubleneedle (Diễu 2kim không đều.)</t>
  </si>
  <si>
    <t>J.Needle holes (Lỗ kim )</t>
  </si>
  <si>
    <t>K. Raw edges  / Biên vải (không vắt sổ / không may dấu).</t>
  </si>
  <si>
    <t>L. Balance (pockets, yokes, hems, collarpoints)   Đối xứng (túi, đô, lai, đường viền, cổ...)</t>
  </si>
  <si>
    <t>M. Twisting / torquing (  Vặn / Xoắn (ống, thân .)</t>
  </si>
  <si>
    <t>N. Missing / misplaced or insecure bartack  ( Thiếu bọ / Bọ không chắc / Bọ sai vị trí )</t>
  </si>
  <si>
    <t>O. Button/Buttonhole, snaps, zippers or eyelets: insecure / incorrect / misplaced (Khuy, nút cố định, dây kéo, mắt cáo không chắc chắn / Sai vị trí / Khó mở.)</t>
  </si>
  <si>
    <t>P. Others (Các lỗi khác.)</t>
  </si>
  <si>
    <t xml:space="preserve">3.  ACCESSORIES / PHỤ LIỆU </t>
  </si>
  <si>
    <t>Any label missing / insecure / damaged / incorrect / misplaced (Thiếu nhãn / Gắn nhãn sai / Gắn không chắc chắn / Gắn sai vị trí)</t>
  </si>
  <si>
    <t xml:space="preserve">Button/Buttonhole, snaps, zippers or eyelets:Missing / damaged / inoperable.(Nút / nút cố định, dây kéo , mắt cáo : Thiếu / Không đúng / Hư) </t>
  </si>
  <si>
    <t>Drawcord / Cordlock missing / incorrect length / frayed ends.( Dây luồn / Chốt dây luồn lỗi / Thông số sai)</t>
  </si>
  <si>
    <t>Missing fusing (Lỗi ép keo (vị trí, dộp, màu sắc ...)</t>
  </si>
  <si>
    <t>Others (Các lỗi khác. )</t>
  </si>
  <si>
    <t>4 . PRINT &amp; EMBROIDERY / IN THÊU</t>
  </si>
  <si>
    <t>A.  Print &amp; embroidery defect.(Pucker.) (Các lỗi in, thêu (đứt chỉ, nhăn, ...)</t>
  </si>
  <si>
    <t>B.  Mismach color (Sai màu sắc.)</t>
  </si>
  <si>
    <t>C.  Others (Các lỗi khác.)</t>
  </si>
  <si>
    <t>5.   WASH &amp; FINISHING  /  WASH &amp; HOÀN THÀNH</t>
  </si>
  <si>
    <t>A.  Wash not within standard of tolerance (Độ Wash chưa đạt.)</t>
  </si>
  <si>
    <t>B.   Excessive fraying / pilling.( Xuớc, xù lông.)</t>
  </si>
  <si>
    <t>C.  Handfeel (Độ mền/cứng sau wash.)</t>
  </si>
  <si>
    <t>D.  Shading (Loang màu.)</t>
  </si>
  <si>
    <t>E.   Creased / pleated pressing  (Ủi nhăn, xếp ly)</t>
  </si>
  <si>
    <t>F.   Iron marks (Vết ủi )</t>
  </si>
  <si>
    <t>G.  Poor press (Không ủi )</t>
  </si>
  <si>
    <t>H.  Damp garments (Sản phẩm ẩm ướt)</t>
  </si>
  <si>
    <t>I.   Smelling garments(sản phẩm có mùi)</t>
  </si>
  <si>
    <t>J.   Others (Các lỗi khác )</t>
  </si>
  <si>
    <t>6.   CLEANNESS / VỆ SINH CÔNG NGHIỆP</t>
  </si>
  <si>
    <t>A.  Staples / pins / needles not removed (Kim, ghim bấm, kim gút trên sản phẩm )</t>
  </si>
  <si>
    <t>B.  Spots / Stain / abrasion mark / soil / stamps / stickers (Vết dơ, vết dầu, băng keo, nhãn giấy .trên sản phẩm)</t>
  </si>
  <si>
    <t>C.  Threads not trimmed (Chỉ dư trên sản phẩm)</t>
  </si>
  <si>
    <t>D.  Others (Các lỗi khác)</t>
  </si>
  <si>
    <t>7.   PACKING / ĐÓNG GÓI</t>
  </si>
  <si>
    <t>A.  Incorrect information on polybag (Thông tin trên bao nylon sai.)</t>
  </si>
  <si>
    <t>B.  Incorrect fold  (Gấp xếp không đúng qui cách )</t>
  </si>
  <si>
    <t>C.  Polybag size (Cỡ bao nylon không đúng.)</t>
  </si>
  <si>
    <t>D.  Carton size out of spec (Kích thước thùng Carton không đúng.)</t>
  </si>
  <si>
    <t>E.   Content incorrect (Nội dung ghi trên thùng sai.)</t>
  </si>
  <si>
    <t>F.   Incorrect quantity (Số lượng đóng gói sai)</t>
  </si>
  <si>
    <t>G.  Incorrect color/Size in carton (Phối thùng sai.)</t>
  </si>
  <si>
    <t>H.  Poor carton quality (Chất lượng thùng Carton kém.)</t>
  </si>
  <si>
    <t>I.     Others (Các lỗi khác.)</t>
  </si>
  <si>
    <t>8. MEASUREMENT  /  THÔNG SỐ</t>
  </si>
  <si>
    <t>A.  Out of spec (Ngoài dung sai cho phép.)</t>
  </si>
  <si>
    <t>B.  Others (Các lỗi khác.)</t>
  </si>
  <si>
    <t>Total</t>
  </si>
  <si>
    <t xml:space="preserve">  AQL 2.5, Level 2</t>
  </si>
  <si>
    <t xml:space="preserve">  AQL 1.5, Level 2</t>
  </si>
  <si>
    <t>Qty size</t>
  </si>
  <si>
    <t>Sampling size</t>
  </si>
  <si>
    <t>Major defects 2.5</t>
  </si>
  <si>
    <t>Minor defects 2.5</t>
  </si>
  <si>
    <t>Major defects 1.5</t>
  </si>
  <si>
    <t>Minor defects 1.5</t>
  </si>
  <si>
    <t>accept</t>
  </si>
  <si>
    <t>reject</t>
  </si>
  <si>
    <t>51-90</t>
  </si>
  <si>
    <t>91-150</t>
  </si>
  <si>
    <t>151-280</t>
  </si>
  <si>
    <t>281-500</t>
  </si>
  <si>
    <t>501-1200</t>
  </si>
  <si>
    <t>1201-3,200</t>
  </si>
  <si>
    <t>3,201-10,000</t>
  </si>
  <si>
    <t>10,001-35,000</t>
  </si>
  <si>
    <t>35,001-500,000</t>
  </si>
  <si>
    <t xml:space="preserve">Inspection Result - Kết quả </t>
  </si>
  <si>
    <t>Pass - Đạt :</t>
  </si>
  <si>
    <t>No# of defect allowed - Số lỗi cho phép</t>
  </si>
  <si>
    <t>Rejected - K.đạt:</t>
  </si>
  <si>
    <t>Major</t>
  </si>
  <si>
    <t>Pending - Treo :</t>
  </si>
  <si>
    <t>Minor</t>
  </si>
  <si>
    <t>No# of unit inspected - Số lượng kiểm tra</t>
  </si>
  <si>
    <t xml:space="preserve">Flat Packed  </t>
  </si>
  <si>
    <t>Đóng thùng</t>
  </si>
  <si>
    <t>Hanging Goods</t>
  </si>
  <si>
    <t>Treo</t>
  </si>
  <si>
    <t xml:space="preserve">SEA </t>
  </si>
  <si>
    <t xml:space="preserve">AIR </t>
  </si>
  <si>
    <t>TT.QTCL</t>
  </si>
  <si>
    <t>FACTORY</t>
  </si>
  <si>
    <t xml:space="preserve">  INSPECTOR</t>
  </si>
  <si>
    <t>PICTURE ACCEPT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</si>
</sst>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-409]d\-mmm"/>
    <numFmt numFmtId="165" formatCode="[$-409]d\-mmm\-yy"/>
  </numFmts>
  <fonts count="33">
    <font>
      <sz val="10.0"/>
      <color rgb="FF000000"/>
      <name val="Arial"/>
      <scheme val="minor"/>
    </font>
    <font>
      <b/>
      <sz val="18.0"/>
      <color rgb="FF993366"/>
      <name val="Candara"/>
    </font>
    <font>
      <sz val="24.0"/>
      <color rgb="FF006411"/>
      <name val="Times New Roman"/>
    </font>
    <font/>
    <font>
      <b/>
      <sz val="18.0"/>
      <color rgb="FFDD0806"/>
      <name val="Times New Roman"/>
    </font>
    <font>
      <sz val="8.0"/>
      <color theme="1"/>
      <name val="Arial"/>
    </font>
    <font>
      <sz val="11.0"/>
      <color rgb="FF000000"/>
      <name val="Times New Roman"/>
    </font>
    <font>
      <sz val="10.0"/>
      <color theme="1"/>
      <name val="Times New Roman"/>
    </font>
    <font>
      <b/>
      <sz val="16.0"/>
      <color theme="1"/>
      <name val="Times New Roman"/>
    </font>
    <font>
      <b/>
      <sz val="12.0"/>
      <color theme="1"/>
      <name val="Candara"/>
    </font>
    <font>
      <b/>
      <sz val="10.0"/>
      <color theme="1"/>
      <name val="Arial"/>
    </font>
    <font>
      <b/>
      <sz val="18.0"/>
      <color theme="1"/>
      <name val="Times New Roman"/>
    </font>
    <font>
      <sz val="12.0"/>
      <color rgb="FF000000"/>
      <name val="Candara"/>
    </font>
    <font>
      <b/>
      <sz val="12.0"/>
      <color theme="1"/>
      <name val="Times New Roman"/>
    </font>
    <font>
      <sz val="12.0"/>
      <color theme="1"/>
      <name val="Times New Roman"/>
    </font>
    <font>
      <sz val="9.0"/>
      <color theme="1"/>
      <name val="Candara"/>
    </font>
    <font>
      <sz val="10.0"/>
      <color theme="1"/>
      <name val="Arial"/>
    </font>
    <font>
      <sz val="16.0"/>
      <color theme="1"/>
      <name val="Times New Roman"/>
    </font>
    <font>
      <b/>
      <sz val="11.0"/>
      <color theme="1"/>
      <name val="Times New Roman"/>
    </font>
    <font>
      <sz val="18.0"/>
      <color rgb="FF000000"/>
      <name val="Times New Roman"/>
    </font>
    <font>
      <sz val="14.0"/>
      <color theme="1"/>
      <name val="Candara"/>
    </font>
    <font>
      <sz val="11.0"/>
      <color theme="1"/>
      <name val="Times New Roman"/>
    </font>
    <font>
      <sz val="16.0"/>
      <color rgb="FF000000"/>
      <name val="Times New Roman"/>
    </font>
    <font>
      <b/>
      <sz val="11.0"/>
      <color rgb="FF000000"/>
      <name val="Times New Roman"/>
    </font>
    <font>
      <sz val="12.0"/>
      <color rgb="FF0000D4"/>
      <name val="Times New Roman"/>
    </font>
    <font>
      <b/>
      <sz val="20.0"/>
      <color rgb="FF993366"/>
      <name val="Times New Roman"/>
    </font>
    <font>
      <b/>
      <sz val="16.0"/>
      <color rgb="FFDD0806"/>
      <name val="Times New Roman"/>
    </font>
    <font>
      <b/>
      <sz val="12.0"/>
      <color rgb="FF0000D4"/>
      <name val="Times New Roman"/>
    </font>
    <font>
      <sz val="10.0"/>
      <color theme="0"/>
      <name val="Arial"/>
    </font>
    <font>
      <sz val="12.0"/>
      <color theme="0"/>
      <name val="Times New Roman"/>
    </font>
    <font>
      <b/>
      <sz val="12.0"/>
      <color rgb="FFC0C0C0"/>
      <name val="Times New Roman"/>
    </font>
    <font>
      <sz val="11.0"/>
      <color theme="1"/>
      <name val="Arial"/>
    </font>
    <font>
      <b/>
      <sz val="18.0"/>
      <color rgb="FF99CC00"/>
      <name val="Times New Roman"/>
    </font>
  </fonts>
  <fills count="10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BFBFBF"/>
        <bgColor rgb="FFBFBFBF"/>
      </patternFill>
    </fill>
    <fill>
      <patternFill patternType="solid">
        <fgColor rgb="FFD8D8D8"/>
        <bgColor rgb="FFD8D8D8"/>
      </patternFill>
    </fill>
    <fill>
      <patternFill patternType="solid">
        <fgColor rgb="FFC2D69B"/>
        <bgColor rgb="FFC2D69B"/>
      </patternFill>
    </fill>
    <fill>
      <patternFill patternType="solid">
        <fgColor rgb="FFB6DDE8"/>
        <bgColor rgb="FFB6DDE8"/>
      </patternFill>
    </fill>
  </fills>
  <borders count="107">
    <border/>
    <border>
      <left/>
      <top/>
      <bottom/>
    </border>
    <border>
      <bottom style="medium">
        <color rgb="FF000000"/>
      </bottom>
    </border>
    <border>
      <top/>
      <bottom/>
    </border>
    <border>
      <bottom style="thin">
        <color rgb="FF000000"/>
      </bottom>
    </border>
    <border>
      <left/>
      <right/>
      <top/>
      <bottom/>
    </border>
    <border>
      <right/>
      <top/>
      <bottom/>
    </border>
    <border>
      <left style="medium">
        <color rgb="FF000000"/>
      </left>
      <right/>
      <top style="medium">
        <color rgb="FF000000"/>
      </top>
      <bottom style="thin">
        <color rgb="FF000000"/>
      </bottom>
    </border>
    <border>
      <left/>
      <right/>
      <top style="medium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/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/>
      <top style="medium">
        <color rgb="FF000000"/>
      </top>
      <bottom style="thin">
        <color rgb="FF000000"/>
      </bottom>
    </border>
    <border>
      <left style="thin">
        <color rgb="FF000000"/>
      </left>
      <right/>
      <top style="medium">
        <color rgb="FF000000"/>
      </top>
      <bottom/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/>
      <top style="thin">
        <color rgb="FF000000"/>
      </top>
      <bottom style="medium">
        <color rgb="FF000000"/>
      </bottom>
    </border>
    <border>
      <left/>
      <right/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/>
      <top style="thin">
        <color rgb="FF000000"/>
      </top>
      <bottom style="medium">
        <color rgb="FF000000"/>
      </bottom>
    </border>
    <border>
      <left style="thin">
        <color rgb="FF000000"/>
      </left>
      <right/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medium">
        <color rgb="FF000000"/>
      </bottom>
    </border>
    <border>
      <left/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</border>
    <border>
      <right style="medium">
        <color rgb="FF000000"/>
      </right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top style="medium">
        <color rgb="FF000000"/>
      </top>
    </border>
    <border>
      <right style="thin">
        <color rgb="FF000000"/>
      </right>
      <top style="medium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right style="thin">
        <color rgb="FF000000"/>
      </right>
    </border>
    <border>
      <left style="thin">
        <color rgb="FF000000"/>
      </left>
    </border>
    <border>
      <left style="medium">
        <color rgb="FF000000"/>
      </lef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left style="medium">
        <color rgb="FF000000"/>
      </left>
      <bottom style="thin">
        <color rgb="FF000000"/>
      </bottom>
    </border>
    <border>
      <left/>
      <right/>
      <top/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medium">
        <color rgb="FF000000"/>
      </right>
      <top/>
      <bottom style="thin">
        <color rgb="FF000000"/>
      </bottom>
    </border>
    <border>
      <left style="medium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left style="medium">
        <color rgb="FF000000"/>
      </left>
      <right/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/>
      <top/>
      <bottom style="medium">
        <color rgb="FF000000"/>
      </bottom>
    </border>
    <border>
      <left/>
      <right/>
      <top/>
      <bottom style="medium">
        <color rgb="FF000000"/>
      </bottom>
    </border>
    <border>
      <left style="medium">
        <color rgb="FF000000"/>
      </left>
      <right style="medium">
        <color rgb="FF000000"/>
      </right>
      <top/>
      <bottom style="medium">
        <color rgb="FF000000"/>
      </bottom>
    </border>
    <border>
      <left style="medium">
        <color rgb="FF000000"/>
      </left>
      <right/>
      <top style="medium">
        <color rgb="FF000000"/>
      </top>
      <bottom/>
    </border>
    <border>
      <left/>
      <right/>
      <top style="medium">
        <color rgb="FF000000"/>
      </top>
      <bottom/>
    </border>
    <border>
      <left/>
      <right style="medium">
        <color rgb="FF000000"/>
      </right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medium">
        <color rgb="FF000000"/>
      </left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medium">
        <color rgb="FF000000"/>
      </right>
      <top style="thin">
        <color rgb="FF000000"/>
      </top>
      <bottom/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/>
      <top/>
      <bottom style="thin">
        <color rgb="FF000000"/>
      </bottom>
    </border>
    <border>
      <left style="thin">
        <color rgb="FF000000"/>
      </left>
      <right/>
      <top style="thin">
        <color rgb="FF000000"/>
      </top>
      <bottom/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 style="medium">
        <color rgb="FF000000"/>
      </right>
      <top/>
      <bottom/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/>
      <right/>
      <top style="medium">
        <color rgb="FF000000"/>
      </top>
      <bottom style="medium">
        <color rgb="FF000000"/>
      </bottom>
    </border>
    <border>
      <left style="thin">
        <color rgb="FF000000"/>
      </left>
      <top/>
    </border>
    <border>
      <top/>
    </border>
    <border>
      <right style="medium">
        <color rgb="FF000000"/>
      </right>
      <top/>
    </border>
    <border>
      <left style="medium">
        <color rgb="FF000000"/>
      </left>
      <right/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left/>
      <right/>
      <top style="thin">
        <color rgb="FF000000"/>
      </top>
      <bottom/>
    </border>
    <border>
      <left style="medium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left style="medium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right style="medium">
        <color rgb="FF000000"/>
      </right>
      <top style="thick">
        <color rgb="FF000000"/>
      </top>
      <bottom style="thin">
        <color rgb="FF000000"/>
      </bottom>
    </border>
    <border>
      <left/>
      <right style="medium">
        <color rgb="FF000000"/>
      </right>
      <top/>
      <bottom/>
    </border>
  </borders>
  <cellStyleXfs count="1">
    <xf borderId="0" fillId="0" fontId="0" numFmtId="0" applyAlignment="1" applyFont="1"/>
  </cellStyleXfs>
  <cellXfs count="26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vertical="center"/>
    </xf>
    <xf borderId="2" fillId="0" fontId="2" numFmtId="0" xfId="0" applyAlignment="1" applyBorder="1" applyFont="1">
      <alignment horizontal="left" vertical="center"/>
    </xf>
    <xf borderId="3" fillId="0" fontId="3" numFmtId="0" xfId="0" applyBorder="1" applyFont="1"/>
    <xf borderId="2" fillId="0" fontId="3" numFmtId="0" xfId="0" applyBorder="1" applyFont="1"/>
    <xf borderId="4" fillId="0" fontId="4" numFmtId="0" xfId="0" applyAlignment="1" applyBorder="1" applyFont="1">
      <alignment horizontal="left" vertical="center"/>
    </xf>
    <xf borderId="4" fillId="0" fontId="3" numFmtId="0" xfId="0" applyBorder="1" applyFont="1"/>
    <xf borderId="5" fillId="3" fontId="5" numFmtId="0" xfId="0" applyAlignment="1" applyBorder="1" applyFill="1" applyFont="1">
      <alignment vertical="center"/>
    </xf>
    <xf borderId="6" fillId="0" fontId="3" numFmtId="0" xfId="0" applyBorder="1" applyFont="1"/>
    <xf borderId="0" fillId="0" fontId="6" numFmtId="0" xfId="0" applyFont="1"/>
    <xf borderId="0" fillId="0" fontId="7" numFmtId="0" xfId="0" applyFont="1"/>
    <xf borderId="7" fillId="4" fontId="8" numFmtId="0" xfId="0" applyAlignment="1" applyBorder="1" applyFill="1" applyFont="1">
      <alignment vertical="center"/>
    </xf>
    <xf borderId="8" fillId="4" fontId="8" numFmtId="0" xfId="0" applyAlignment="1" applyBorder="1" applyFont="1">
      <alignment vertical="center"/>
    </xf>
    <xf borderId="9" fillId="2" fontId="9" numFmtId="0" xfId="0" applyAlignment="1" applyBorder="1" applyFont="1">
      <alignment horizontal="left" vertical="center"/>
    </xf>
    <xf borderId="10" fillId="0" fontId="3" numFmtId="0" xfId="0" applyBorder="1" applyFont="1"/>
    <xf borderId="11" fillId="0" fontId="3" numFmtId="0" xfId="0" applyBorder="1" applyFont="1"/>
    <xf borderId="5" fillId="3" fontId="10" numFmtId="0" xfId="0" applyAlignment="1" applyBorder="1" applyFont="1">
      <alignment horizontal="center" vertical="center"/>
    </xf>
    <xf borderId="12" fillId="4" fontId="8" numFmtId="0" xfId="0" applyAlignment="1" applyBorder="1" applyFont="1">
      <alignment horizontal="center" vertical="center"/>
    </xf>
    <xf borderId="13" fillId="2" fontId="9" numFmtId="0" xfId="0" applyAlignment="1" applyBorder="1" applyFont="1">
      <alignment horizontal="left" vertical="center"/>
    </xf>
    <xf borderId="14" fillId="4" fontId="8" numFmtId="0" xfId="0" applyAlignment="1" applyBorder="1" applyFont="1">
      <alignment vertical="center"/>
    </xf>
    <xf borderId="15" fillId="4" fontId="8" numFmtId="0" xfId="0" applyAlignment="1" applyBorder="1" applyFont="1">
      <alignment vertical="center"/>
    </xf>
    <xf borderId="16" fillId="0" fontId="3" numFmtId="0" xfId="0" applyBorder="1" applyFont="1"/>
    <xf borderId="17" fillId="2" fontId="9" numFmtId="0" xfId="0" applyAlignment="1" applyBorder="1" applyFont="1">
      <alignment horizontal="left" vertical="center"/>
    </xf>
    <xf borderId="18" fillId="0" fontId="3" numFmtId="0" xfId="0" applyBorder="1" applyFont="1"/>
    <xf borderId="19" fillId="0" fontId="3" numFmtId="0" xfId="0" applyBorder="1" applyFont="1"/>
    <xf borderId="20" fillId="4" fontId="8" numFmtId="0" xfId="0" applyAlignment="1" applyBorder="1" applyFont="1">
      <alignment vertical="center"/>
    </xf>
    <xf borderId="21" fillId="4" fontId="8" numFmtId="0" xfId="0" applyAlignment="1" applyBorder="1" applyFont="1">
      <alignment vertical="center"/>
    </xf>
    <xf borderId="22" fillId="2" fontId="9" numFmtId="0" xfId="0" applyAlignment="1" applyBorder="1" applyFont="1">
      <alignment horizontal="left" vertical="center"/>
    </xf>
    <xf borderId="23" fillId="4" fontId="8" numFmtId="0" xfId="0" applyAlignment="1" applyBorder="1" applyFont="1">
      <alignment horizontal="center" vertical="center"/>
    </xf>
    <xf borderId="24" fillId="2" fontId="9" numFmtId="0" xfId="0" applyAlignment="1" applyBorder="1" applyFont="1">
      <alignment vertical="center"/>
    </xf>
    <xf borderId="25" fillId="3" fontId="11" numFmtId="0" xfId="0" applyAlignment="1" applyBorder="1" applyFont="1">
      <alignment horizontal="center" shrinkToFit="0" vertical="center" wrapText="1"/>
    </xf>
    <xf borderId="24" fillId="4" fontId="8" numFmtId="0" xfId="0" applyAlignment="1" applyBorder="1" applyFont="1">
      <alignment vertical="center"/>
    </xf>
    <xf borderId="21" fillId="2" fontId="9" numFmtId="0" xfId="0" applyAlignment="1" applyBorder="1" applyFont="1">
      <alignment vertical="center"/>
    </xf>
    <xf borderId="18" fillId="0" fontId="8" numFmtId="0" xfId="0" applyAlignment="1" applyBorder="1" applyFont="1">
      <alignment vertical="center"/>
    </xf>
    <xf borderId="26" fillId="0" fontId="3" numFmtId="0" xfId="0" applyBorder="1" applyFont="1"/>
    <xf borderId="27" fillId="2" fontId="12" numFmtId="164" xfId="0" applyAlignment="1" applyBorder="1" applyFont="1" applyNumberFormat="1">
      <alignment horizontal="left" vertical="center"/>
    </xf>
    <xf borderId="27" fillId="4" fontId="8" numFmtId="0" xfId="0" applyAlignment="1" applyBorder="1" applyFont="1">
      <alignment vertical="center"/>
    </xf>
    <xf borderId="28" fillId="0" fontId="3" numFmtId="0" xfId="0" applyBorder="1" applyFont="1"/>
    <xf borderId="18" fillId="0" fontId="8" numFmtId="0" xfId="0" applyAlignment="1" applyBorder="1" applyFont="1">
      <alignment horizontal="center" vertical="center"/>
    </xf>
    <xf borderId="29" fillId="0" fontId="3" numFmtId="0" xfId="0" applyBorder="1" applyFont="1"/>
    <xf borderId="0" fillId="0" fontId="13" numFmtId="0" xfId="0" applyAlignment="1" applyFont="1">
      <alignment vertical="center"/>
    </xf>
    <xf borderId="24" fillId="2" fontId="9" numFmtId="0" xfId="0" applyAlignment="1" applyBorder="1" applyFont="1">
      <alignment horizontal="center" vertical="center"/>
    </xf>
    <xf borderId="5" fillId="3" fontId="14" numFmtId="0" xfId="0" applyAlignment="1" applyBorder="1" applyFont="1">
      <alignment vertical="center"/>
    </xf>
    <xf borderId="27" fillId="4" fontId="8" numFmtId="164" xfId="0" applyAlignment="1" applyBorder="1" applyFont="1" applyNumberFormat="1">
      <alignment horizontal="left" vertical="center"/>
    </xf>
    <xf borderId="30" fillId="2" fontId="15" numFmtId="165" xfId="0" applyAlignment="1" applyBorder="1" applyFont="1" applyNumberFormat="1">
      <alignment vertical="center"/>
    </xf>
    <xf borderId="21" fillId="4" fontId="8" numFmtId="0" xfId="0" applyAlignment="1" applyBorder="1" applyFont="1">
      <alignment horizontal="center" vertical="center"/>
    </xf>
    <xf borderId="31" fillId="0" fontId="16" numFmtId="0" xfId="0" applyAlignment="1" applyBorder="1" applyFont="1">
      <alignment horizontal="center"/>
    </xf>
    <xf borderId="30" fillId="4" fontId="17" numFmtId="165" xfId="0" applyAlignment="1" applyBorder="1" applyFont="1" applyNumberFormat="1">
      <alignment vertical="center"/>
    </xf>
    <xf borderId="32" fillId="0" fontId="3" numFmtId="0" xfId="0" applyBorder="1" applyFont="1"/>
    <xf borderId="0" fillId="0" fontId="16" numFmtId="0" xfId="0" applyAlignment="1" applyFont="1">
      <alignment horizontal="center"/>
    </xf>
    <xf borderId="33" fillId="3" fontId="18" numFmtId="0" xfId="0" applyAlignment="1" applyBorder="1" applyFont="1">
      <alignment vertical="center"/>
    </xf>
    <xf borderId="34" fillId="4" fontId="19" numFmtId="0" xfId="0" applyAlignment="1" applyBorder="1" applyFont="1">
      <alignment horizontal="center"/>
    </xf>
    <xf borderId="35" fillId="3" fontId="18" numFmtId="0" xfId="0" applyAlignment="1" applyBorder="1" applyFont="1">
      <alignment vertical="center"/>
    </xf>
    <xf borderId="36" fillId="0" fontId="3" numFmtId="0" xfId="0" applyBorder="1" applyFont="1"/>
    <xf borderId="31" fillId="0" fontId="3" numFmtId="0" xfId="0" applyBorder="1" applyFont="1"/>
    <xf borderId="37" fillId="0" fontId="3" numFmtId="0" xfId="0" applyBorder="1" applyFont="1"/>
    <xf borderId="38" fillId="3" fontId="18" numFmtId="0" xfId="0" applyAlignment="1" applyBorder="1" applyFont="1">
      <alignment vertical="center"/>
    </xf>
    <xf borderId="39" fillId="4" fontId="19" numFmtId="0" xfId="0" applyAlignment="1" applyBorder="1" applyFont="1">
      <alignment horizontal="center"/>
    </xf>
    <xf borderId="34" fillId="4" fontId="7" numFmtId="0" xfId="0" applyAlignment="1" applyBorder="1" applyFont="1">
      <alignment horizontal="center"/>
    </xf>
    <xf borderId="38" fillId="0" fontId="18" numFmtId="0" xfId="0" applyAlignment="1" applyBorder="1" applyFont="1">
      <alignment vertical="center"/>
    </xf>
    <xf borderId="40" fillId="0" fontId="3" numFmtId="0" xfId="0" applyBorder="1" applyFont="1"/>
    <xf borderId="25" fillId="3" fontId="13" numFmtId="0" xfId="0" applyAlignment="1" applyBorder="1" applyFont="1">
      <alignment horizontal="center" vertical="center"/>
    </xf>
    <xf borderId="41" fillId="0" fontId="3" numFmtId="0" xfId="0" applyBorder="1" applyFont="1"/>
    <xf borderId="42" fillId="0" fontId="3" numFmtId="0" xfId="0" applyBorder="1" applyFont="1"/>
    <xf borderId="28" fillId="0" fontId="13" numFmtId="0" xfId="0" applyAlignment="1" applyBorder="1" applyFont="1">
      <alignment horizontal="center" vertical="center"/>
    </xf>
    <xf borderId="43" fillId="0" fontId="3" numFmtId="0" xfId="0" applyBorder="1" applyFont="1"/>
    <xf borderId="44" fillId="0" fontId="3" numFmtId="0" xfId="0" applyBorder="1" applyFont="1"/>
    <xf borderId="45" fillId="0" fontId="20" numFmtId="0" xfId="0" applyAlignment="1" applyBorder="1" applyFont="1">
      <alignment horizontal="center"/>
    </xf>
    <xf borderId="46" fillId="0" fontId="3" numFmtId="0" xfId="0" applyBorder="1" applyFont="1"/>
    <xf borderId="47" fillId="0" fontId="3" numFmtId="0" xfId="0" applyBorder="1" applyFont="1"/>
    <xf borderId="48" fillId="4" fontId="18" numFmtId="0" xfId="0" applyAlignment="1" applyBorder="1" applyFont="1">
      <alignment vertical="center"/>
    </xf>
    <xf borderId="49" fillId="5" fontId="18" numFmtId="0" xfId="0" applyAlignment="1" applyBorder="1" applyFill="1" applyFont="1">
      <alignment vertical="center"/>
    </xf>
    <xf borderId="50" fillId="4" fontId="18" numFmtId="0" xfId="0" applyAlignment="1" applyBorder="1" applyFont="1">
      <alignment vertical="center"/>
    </xf>
    <xf borderId="51" fillId="0" fontId="3" numFmtId="0" xfId="0" applyBorder="1" applyFont="1"/>
    <xf borderId="52" fillId="5" fontId="18" numFmtId="0" xfId="0" applyAlignment="1" applyBorder="1" applyFont="1">
      <alignment vertical="center"/>
    </xf>
    <xf borderId="53" fillId="0" fontId="3" numFmtId="0" xfId="0" applyBorder="1" applyFont="1"/>
    <xf borderId="54" fillId="0" fontId="3" numFmtId="0" xfId="0" applyBorder="1" applyFont="1"/>
    <xf borderId="55" fillId="4" fontId="18" numFmtId="0" xfId="0" applyAlignment="1" applyBorder="1" applyFont="1">
      <alignment vertical="center"/>
    </xf>
    <xf borderId="56" fillId="0" fontId="3" numFmtId="0" xfId="0" applyBorder="1" applyFont="1"/>
    <xf borderId="52" fillId="4" fontId="18" numFmtId="0" xfId="0" applyAlignment="1" applyBorder="1" applyFont="1">
      <alignment vertical="center"/>
    </xf>
    <xf borderId="34" fillId="0" fontId="16" numFmtId="0" xfId="0" applyAlignment="1" applyBorder="1" applyFont="1">
      <alignment horizontal="center"/>
    </xf>
    <xf borderId="57" fillId="4" fontId="4" numFmtId="0" xfId="0" applyAlignment="1" applyBorder="1" applyFont="1">
      <alignment vertical="center"/>
    </xf>
    <xf borderId="58" fillId="5" fontId="18" numFmtId="0" xfId="0" applyAlignment="1" applyBorder="1" applyFont="1">
      <alignment vertical="center"/>
    </xf>
    <xf borderId="25" fillId="4" fontId="4" numFmtId="0" xfId="0" applyAlignment="1" applyBorder="1" applyFont="1">
      <alignment horizontal="center" shrinkToFit="0" vertical="center" wrapText="1"/>
    </xf>
    <xf borderId="38" fillId="4" fontId="4" numFmtId="0" xfId="0" applyAlignment="1" applyBorder="1" applyFont="1">
      <alignment vertical="center"/>
    </xf>
    <xf borderId="36" fillId="0" fontId="16" numFmtId="0" xfId="0" applyAlignment="1" applyBorder="1" applyFont="1">
      <alignment horizontal="center"/>
    </xf>
    <xf borderId="59" fillId="5" fontId="18" numFmtId="14" xfId="0" applyAlignment="1" applyBorder="1" applyFont="1" applyNumberFormat="1">
      <alignment vertical="center"/>
    </xf>
    <xf borderId="5" fillId="3" fontId="21" numFmtId="0" xfId="0" applyAlignment="1" applyBorder="1" applyFont="1">
      <alignment vertical="center"/>
    </xf>
    <xf borderId="0" fillId="0" fontId="22" numFmtId="0" xfId="0" applyFont="1"/>
    <xf borderId="60" fillId="0" fontId="19" numFmtId="0" xfId="0" applyAlignment="1" applyBorder="1" applyFont="1">
      <alignment horizontal="center"/>
    </xf>
    <xf borderId="61" fillId="0" fontId="3" numFmtId="0" xfId="0" applyBorder="1" applyFont="1"/>
    <xf borderId="62" fillId="0" fontId="3" numFmtId="0" xfId="0" applyBorder="1" applyFont="1"/>
    <xf borderId="63" fillId="0" fontId="19" numFmtId="0" xfId="0" applyAlignment="1" applyBorder="1" applyFont="1">
      <alignment horizontal="center"/>
    </xf>
    <xf borderId="64" fillId="4" fontId="18" numFmtId="0" xfId="0" applyAlignment="1" applyBorder="1" applyFont="1">
      <alignment vertical="center"/>
    </xf>
    <xf borderId="35" fillId="5" fontId="18" numFmtId="0" xfId="0" applyAlignment="1" applyBorder="1" applyFont="1">
      <alignment readingOrder="0" vertical="center"/>
    </xf>
    <xf borderId="65" fillId="0" fontId="3" numFmtId="0" xfId="0" applyBorder="1" applyFont="1"/>
    <xf borderId="33" fillId="4" fontId="18" numFmtId="0" xfId="0" applyAlignment="1" applyBorder="1" applyFont="1">
      <alignment vertical="center"/>
    </xf>
    <xf borderId="58" fillId="4" fontId="18" numFmtId="0" xfId="0" applyAlignment="1" applyBorder="1" applyFont="1">
      <alignment vertical="center"/>
    </xf>
    <xf borderId="35" fillId="4" fontId="18" numFmtId="0" xfId="0" applyAlignment="1" applyBorder="1" applyFont="1">
      <alignment vertical="center"/>
    </xf>
    <xf borderId="25" fillId="4" fontId="18" numFmtId="0" xfId="0" applyAlignment="1" applyBorder="1" applyFont="1">
      <alignment horizontal="center" shrinkToFit="0" vertical="center" wrapText="1"/>
    </xf>
    <xf borderId="38" fillId="5" fontId="21" numFmtId="164" xfId="0" applyAlignment="1" applyBorder="1" applyFont="1" applyNumberFormat="1">
      <alignment horizontal="left" vertical="center"/>
    </xf>
    <xf borderId="38" fillId="4" fontId="21" numFmtId="0" xfId="0" applyAlignment="1" applyBorder="1" applyFont="1">
      <alignment vertical="center"/>
    </xf>
    <xf borderId="25" fillId="5" fontId="21" numFmtId="0" xfId="0" applyAlignment="1" applyBorder="1" applyFont="1">
      <alignment horizontal="center" vertical="center"/>
    </xf>
    <xf borderId="38" fillId="4" fontId="18" numFmtId="0" xfId="0" applyAlignment="1" applyBorder="1" applyFont="1">
      <alignment shrinkToFit="0" vertical="center" wrapText="1"/>
    </xf>
    <xf borderId="66" fillId="5" fontId="18" numFmtId="0" xfId="0" applyAlignment="1" applyBorder="1" applyFont="1">
      <alignment vertical="center"/>
    </xf>
    <xf borderId="57" fillId="0" fontId="4" numFmtId="0" xfId="0" applyAlignment="1" applyBorder="1" applyFont="1">
      <alignment vertical="center"/>
    </xf>
    <xf borderId="38" fillId="0" fontId="4" numFmtId="0" xfId="0" applyAlignment="1" applyBorder="1" applyFont="1">
      <alignment vertical="center"/>
    </xf>
    <xf borderId="25" fillId="0" fontId="4" numFmtId="0" xfId="0" applyAlignment="1" applyBorder="1" applyFont="1">
      <alignment horizontal="center" shrinkToFit="0" vertical="center" wrapText="1"/>
    </xf>
    <xf borderId="67" fillId="0" fontId="3" numFmtId="0" xfId="0" applyBorder="1" applyFont="1"/>
    <xf borderId="57" fillId="4" fontId="18" numFmtId="0" xfId="0" applyAlignment="1" applyBorder="1" applyFont="1">
      <alignment horizontal="left" vertical="center"/>
    </xf>
    <xf borderId="25" fillId="4" fontId="23" numFmtId="0" xfId="0" applyAlignment="1" applyBorder="1" applyFont="1">
      <alignment horizontal="left" vertical="center"/>
    </xf>
    <xf borderId="5" fillId="3" fontId="21" numFmtId="0" xfId="0" applyAlignment="1" applyBorder="1" applyFont="1">
      <alignment horizontal="center" vertical="center"/>
    </xf>
    <xf borderId="68" fillId="4" fontId="21" numFmtId="0" xfId="0" applyAlignment="1" applyBorder="1" applyFont="1">
      <alignment shrinkToFit="0" vertical="center" wrapText="1"/>
    </xf>
    <xf borderId="22" fillId="4" fontId="18" numFmtId="0" xfId="0" applyAlignment="1" applyBorder="1" applyFont="1">
      <alignment horizontal="left" shrinkToFit="1" vertical="center" wrapText="0"/>
    </xf>
    <xf borderId="22" fillId="4" fontId="18" numFmtId="0" xfId="0" applyAlignment="1" applyBorder="1" applyFont="1">
      <alignment horizontal="left" shrinkToFit="0" vertical="center" wrapText="1"/>
    </xf>
    <xf borderId="69" fillId="4" fontId="18" numFmtId="0" xfId="0" applyAlignment="1" applyBorder="1" applyFont="1">
      <alignment horizontal="center" vertical="top"/>
    </xf>
    <xf borderId="70" fillId="4" fontId="18" numFmtId="0" xfId="0" applyAlignment="1" applyBorder="1" applyFont="1">
      <alignment horizontal="center" vertical="top"/>
    </xf>
    <xf borderId="71" fillId="4" fontId="18" numFmtId="0" xfId="0" applyAlignment="1" applyBorder="1" applyFont="1">
      <alignment vertical="center"/>
    </xf>
    <xf borderId="72" fillId="4" fontId="18" numFmtId="0" xfId="0" applyAlignment="1" applyBorder="1" applyFont="1">
      <alignment vertical="center"/>
    </xf>
    <xf borderId="71" fillId="4" fontId="18" numFmtId="0" xfId="0" applyAlignment="1" applyBorder="1" applyFont="1">
      <alignment horizontal="center" vertical="center"/>
    </xf>
    <xf borderId="73" fillId="4" fontId="18" numFmtId="0" xfId="0" applyAlignment="1" applyBorder="1" applyFont="1">
      <alignment horizontal="center" vertical="center"/>
    </xf>
    <xf borderId="72" fillId="4" fontId="21" numFmtId="0" xfId="0" applyAlignment="1" applyBorder="1" applyFont="1">
      <alignment vertical="center"/>
    </xf>
    <xf borderId="45" fillId="4" fontId="13" numFmtId="0" xfId="0" applyAlignment="1" applyBorder="1" applyFont="1">
      <alignment horizontal="left" vertical="center"/>
    </xf>
    <xf borderId="74" fillId="4" fontId="13" numFmtId="0" xfId="0" applyAlignment="1" applyBorder="1" applyFont="1">
      <alignment vertical="center"/>
    </xf>
    <xf borderId="75" fillId="4" fontId="14" numFmtId="0" xfId="0" applyAlignment="1" applyBorder="1" applyFont="1">
      <alignment vertical="center"/>
    </xf>
    <xf borderId="75" fillId="4" fontId="24" numFmtId="0" xfId="0" applyAlignment="1" applyBorder="1" applyFont="1">
      <alignment horizontal="center" vertical="center"/>
    </xf>
    <xf borderId="76" fillId="4" fontId="24" numFmtId="0" xfId="0" applyAlignment="1" applyBorder="1" applyFont="1">
      <alignment horizontal="center" vertical="center"/>
    </xf>
    <xf borderId="5" fillId="3" fontId="13" numFmtId="0" xfId="0" applyAlignment="1" applyBorder="1" applyFont="1">
      <alignment vertical="center"/>
    </xf>
    <xf borderId="74" fillId="4" fontId="14" numFmtId="0" xfId="0" applyAlignment="1" applyBorder="1" applyFont="1">
      <alignment vertical="center"/>
    </xf>
    <xf borderId="77" fillId="4" fontId="24" numFmtId="0" xfId="0" applyAlignment="1" applyBorder="1" applyFont="1">
      <alignment horizontal="center" vertical="center"/>
    </xf>
    <xf borderId="78" fillId="4" fontId="24" numFmtId="0" xfId="0" applyAlignment="1" applyBorder="1" applyFont="1">
      <alignment horizontal="center" vertical="center"/>
    </xf>
    <xf borderId="68" fillId="0" fontId="4" numFmtId="0" xfId="0" applyAlignment="1" applyBorder="1" applyFont="1">
      <alignment vertical="center"/>
    </xf>
    <xf borderId="69" fillId="0" fontId="4" numFmtId="0" xfId="0" applyAlignment="1" applyBorder="1" applyFont="1">
      <alignment vertical="center"/>
    </xf>
    <xf borderId="14" fillId="4" fontId="24" numFmtId="0" xfId="0" applyAlignment="1" applyBorder="1" applyFont="1">
      <alignment horizontal="center" vertical="center"/>
    </xf>
    <xf borderId="22" fillId="0" fontId="4" numFmtId="0" xfId="0" applyAlignment="1" applyBorder="1" applyFont="1">
      <alignment horizontal="center" shrinkToFit="0" vertical="center" wrapText="1"/>
    </xf>
    <xf borderId="9" fillId="4" fontId="14" numFmtId="0" xfId="0" applyAlignment="1" applyBorder="1" applyFont="1">
      <alignment vertical="center"/>
    </xf>
    <xf borderId="79" fillId="0" fontId="3" numFmtId="0" xfId="0" applyBorder="1" applyFont="1"/>
    <xf borderId="0" fillId="0" fontId="6" numFmtId="0" xfId="0" applyAlignment="1" applyFont="1">
      <alignment horizontal="center"/>
    </xf>
    <xf borderId="64" fillId="4" fontId="14" numFmtId="0" xfId="0" applyAlignment="1" applyBorder="1" applyFont="1">
      <alignment vertical="center"/>
    </xf>
    <xf borderId="35" fillId="4" fontId="14" numFmtId="0" xfId="0" applyAlignment="1" applyBorder="1" applyFont="1">
      <alignment vertical="center"/>
    </xf>
    <xf borderId="38" fillId="4" fontId="24" numFmtId="0" xfId="0" applyAlignment="1" applyBorder="1" applyFont="1">
      <alignment horizontal="center" vertical="center"/>
    </xf>
    <xf borderId="66" fillId="4" fontId="24" numFmtId="0" xfId="0" applyAlignment="1" applyBorder="1" applyFont="1">
      <alignment horizontal="center" vertical="center"/>
    </xf>
    <xf borderId="35" fillId="4" fontId="21" numFmtId="0" xfId="0" applyAlignment="1" applyBorder="1" applyFont="1">
      <alignment shrinkToFit="1" vertical="center" wrapText="0"/>
    </xf>
    <xf borderId="33" fillId="4" fontId="24" numFmtId="0" xfId="0" applyAlignment="1" applyBorder="1" applyFont="1">
      <alignment horizontal="center" vertical="center"/>
    </xf>
    <xf borderId="80" fillId="4" fontId="14" numFmtId="0" xfId="0" applyAlignment="1" applyBorder="1" applyFont="1">
      <alignment vertical="center"/>
    </xf>
    <xf borderId="49" fillId="4" fontId="24" numFmtId="0" xfId="0" applyAlignment="1" applyBorder="1" applyFont="1">
      <alignment horizontal="center" vertical="center"/>
    </xf>
    <xf borderId="5" fillId="4" fontId="13" numFmtId="0" xfId="0" applyAlignment="1" applyBorder="1" applyFont="1">
      <alignment vertical="center"/>
    </xf>
    <xf borderId="81" fillId="4" fontId="14" numFmtId="0" xfId="0" applyAlignment="1" applyBorder="1" applyFont="1">
      <alignment vertical="center"/>
    </xf>
    <xf borderId="5" fillId="4" fontId="14" numFmtId="0" xfId="0" applyAlignment="1" applyBorder="1" applyFont="1">
      <alignment vertical="center"/>
    </xf>
    <xf borderId="58" fillId="4" fontId="14" numFmtId="0" xfId="0" applyAlignment="1" applyBorder="1" applyFont="1">
      <alignment vertical="center"/>
    </xf>
    <xf borderId="66" fillId="4" fontId="13" numFmtId="0" xfId="0" applyAlignment="1" applyBorder="1" applyFont="1">
      <alignment vertical="center"/>
    </xf>
    <xf borderId="38" fillId="4" fontId="14" numFmtId="0" xfId="0" applyAlignment="1" applyBorder="1" applyFont="1">
      <alignment horizontal="center" vertical="center"/>
    </xf>
    <xf borderId="66" fillId="4" fontId="14" numFmtId="0" xfId="0" applyAlignment="1" applyBorder="1" applyFont="1">
      <alignment horizontal="center" vertical="center"/>
    </xf>
    <xf borderId="82" fillId="4" fontId="14" numFmtId="0" xfId="0" applyAlignment="1" applyBorder="1" applyFont="1">
      <alignment horizontal="center" vertical="center"/>
    </xf>
    <xf borderId="83" fillId="4" fontId="14" numFmtId="0" xfId="0" applyAlignment="1" applyBorder="1" applyFont="1">
      <alignment horizontal="center" vertical="center"/>
    </xf>
    <xf borderId="84" fillId="4" fontId="24" numFmtId="0" xfId="0" applyAlignment="1" applyBorder="1" applyFont="1">
      <alignment horizontal="center" vertical="center"/>
    </xf>
    <xf borderId="4" fillId="0" fontId="25" numFmtId="0" xfId="0" applyAlignment="1" applyBorder="1" applyFont="1">
      <alignment horizontal="left" vertical="center"/>
    </xf>
    <xf borderId="85" fillId="4" fontId="14" numFmtId="0" xfId="0" applyAlignment="1" applyBorder="1" applyFont="1">
      <alignment vertical="center"/>
    </xf>
    <xf borderId="55" fillId="4" fontId="14" numFmtId="0" xfId="0" applyAlignment="1" applyBorder="1" applyFont="1">
      <alignment vertical="center"/>
    </xf>
    <xf borderId="82" fillId="4" fontId="24" numFmtId="0" xfId="0" applyAlignment="1" applyBorder="1" applyFont="1">
      <alignment horizontal="center" vertical="center"/>
    </xf>
    <xf borderId="86" fillId="4" fontId="24" numFmtId="0" xfId="0" applyAlignment="1" applyBorder="1" applyFont="1">
      <alignment horizontal="center" vertical="center"/>
    </xf>
    <xf borderId="87" fillId="4" fontId="24" numFmtId="0" xfId="0" applyAlignment="1" applyBorder="1" applyFont="1">
      <alignment horizontal="center" vertical="center"/>
    </xf>
    <xf borderId="88" fillId="4" fontId="24" numFmtId="0" xfId="0" applyAlignment="1" applyBorder="1" applyFont="1">
      <alignment horizontal="center" vertical="center"/>
    </xf>
    <xf borderId="89" fillId="4" fontId="13" numFmtId="0" xfId="0" applyAlignment="1" applyBorder="1" applyFont="1">
      <alignment vertical="center"/>
    </xf>
    <xf borderId="90" fillId="4" fontId="13" numFmtId="0" xfId="0" applyAlignment="1" applyBorder="1" applyFont="1">
      <alignment vertical="center"/>
    </xf>
    <xf borderId="66" fillId="4" fontId="14" numFmtId="0" xfId="0" applyAlignment="1" applyBorder="1" applyFont="1">
      <alignment vertical="center"/>
    </xf>
    <xf borderId="23" fillId="4" fontId="8" numFmtId="164" xfId="0" applyAlignment="1" applyBorder="1" applyFont="1" applyNumberFormat="1">
      <alignment horizontal="center" vertical="center"/>
    </xf>
    <xf borderId="50" fillId="4" fontId="24" numFmtId="0" xfId="0" applyAlignment="1" applyBorder="1" applyFont="1">
      <alignment vertical="center"/>
    </xf>
    <xf borderId="34" fillId="4" fontId="22" numFmtId="0" xfId="0" applyAlignment="1" applyBorder="1" applyFont="1">
      <alignment horizontal="center"/>
    </xf>
    <xf borderId="39" fillId="4" fontId="22" numFmtId="0" xfId="0" applyAlignment="1" applyBorder="1" applyFont="1">
      <alignment horizontal="center"/>
    </xf>
    <xf borderId="91" fillId="4" fontId="22" numFmtId="0" xfId="0" applyAlignment="1" applyBorder="1" applyFont="1">
      <alignment horizontal="center"/>
    </xf>
    <xf borderId="92" fillId="0" fontId="3" numFmtId="0" xfId="0" applyBorder="1" applyFont="1"/>
    <xf borderId="93" fillId="0" fontId="3" numFmtId="0" xfId="0" applyBorder="1" applyFont="1"/>
    <xf borderId="38" fillId="4" fontId="14" numFmtId="0" xfId="0" applyAlignment="1" applyBorder="1" applyFont="1">
      <alignment vertical="center"/>
    </xf>
    <xf borderId="35" fillId="4" fontId="13" numFmtId="0" xfId="0" applyAlignment="1" applyBorder="1" applyFont="1">
      <alignment vertical="center"/>
    </xf>
    <xf borderId="33" fillId="4" fontId="13" numFmtId="0" xfId="0" applyAlignment="1" applyBorder="1" applyFont="1">
      <alignment horizontal="center" vertical="center"/>
    </xf>
    <xf borderId="57" fillId="0" fontId="26" numFmtId="0" xfId="0" applyAlignment="1" applyBorder="1" applyFont="1">
      <alignment vertical="center"/>
    </xf>
    <xf borderId="25" fillId="0" fontId="26" numFmtId="0" xfId="0" applyAlignment="1" applyBorder="1" applyFont="1">
      <alignment horizontal="center" shrinkToFit="0" vertical="center" wrapText="1"/>
    </xf>
    <xf borderId="38" fillId="0" fontId="26" numFmtId="0" xfId="0" applyAlignment="1" applyBorder="1" applyFont="1">
      <alignment vertical="center"/>
    </xf>
    <xf borderId="33" fillId="4" fontId="14" numFmtId="0" xfId="0" applyAlignment="1" applyBorder="1" applyFont="1">
      <alignment vertical="center"/>
    </xf>
    <xf borderId="60" fillId="0" fontId="22" numFmtId="0" xfId="0" applyAlignment="1" applyBorder="1" applyFont="1">
      <alignment horizontal="center"/>
    </xf>
    <xf borderId="63" fillId="0" fontId="22" numFmtId="0" xfId="0" applyAlignment="1" applyBorder="1" applyFont="1">
      <alignment horizontal="center"/>
    </xf>
    <xf borderId="94" fillId="4" fontId="14" numFmtId="0" xfId="0" applyAlignment="1" applyBorder="1" applyFont="1">
      <alignment vertical="center"/>
    </xf>
    <xf borderId="95" fillId="4" fontId="14" numFmtId="0" xfId="0" applyAlignment="1" applyBorder="1" applyFont="1">
      <alignment vertical="center"/>
    </xf>
    <xf borderId="83" fillId="4" fontId="24" numFmtId="0" xfId="0" applyAlignment="1" applyBorder="1" applyFont="1">
      <alignment horizontal="center" vertical="center"/>
    </xf>
    <xf borderId="86" fillId="4" fontId="13" numFmtId="0" xfId="0" applyAlignment="1" applyBorder="1" applyFont="1">
      <alignment vertical="center"/>
    </xf>
    <xf borderId="82" fillId="4" fontId="14" numFmtId="0" xfId="0" applyAlignment="1" applyBorder="1" applyFont="1">
      <alignment vertical="center"/>
    </xf>
    <xf borderId="83" fillId="4" fontId="14" numFmtId="0" xfId="0" applyAlignment="1" applyBorder="1" applyFont="1">
      <alignment vertical="center"/>
    </xf>
    <xf borderId="96" fillId="4" fontId="14" numFmtId="0" xfId="0" applyAlignment="1" applyBorder="1" applyFont="1">
      <alignment vertical="center"/>
    </xf>
    <xf borderId="82" fillId="4" fontId="13" numFmtId="0" xfId="0" applyAlignment="1" applyBorder="1" applyFont="1">
      <alignment vertical="center"/>
    </xf>
    <xf borderId="97" fillId="4" fontId="14" numFmtId="0" xfId="0" applyAlignment="1" applyBorder="1" applyFont="1">
      <alignment vertical="center"/>
    </xf>
    <xf borderId="98" fillId="0" fontId="3" numFmtId="0" xfId="0" applyBorder="1" applyFont="1"/>
    <xf borderId="99" fillId="0" fontId="3" numFmtId="0" xfId="0" applyBorder="1" applyFont="1"/>
    <xf borderId="100" fillId="6" fontId="13" numFmtId="0" xfId="0" applyAlignment="1" applyBorder="1" applyFill="1" applyFont="1">
      <alignment horizontal="center" shrinkToFit="0" vertical="center" wrapText="1"/>
    </xf>
    <xf borderId="101" fillId="0" fontId="3" numFmtId="0" xfId="0" applyBorder="1" applyFont="1"/>
    <xf borderId="102" fillId="0" fontId="3" numFmtId="0" xfId="0" applyBorder="1" applyFont="1"/>
    <xf borderId="103" fillId="6" fontId="13" numFmtId="0" xfId="0" applyAlignment="1" applyBorder="1" applyFont="1">
      <alignment horizontal="center" vertical="center"/>
    </xf>
    <xf borderId="103" fillId="6" fontId="13" numFmtId="1" xfId="0" applyAlignment="1" applyBorder="1" applyFont="1" applyNumberFormat="1">
      <alignment horizontal="center" shrinkToFit="0" vertical="center" wrapText="1"/>
    </xf>
    <xf borderId="104" fillId="6" fontId="13" numFmtId="0" xfId="0" applyAlignment="1" applyBorder="1" applyFont="1">
      <alignment horizontal="center" vertical="center"/>
    </xf>
    <xf borderId="105" fillId="0" fontId="3" numFmtId="0" xfId="0" applyBorder="1" applyFont="1"/>
    <xf borderId="80" fillId="7" fontId="13" numFmtId="0" xfId="0" applyAlignment="1" applyBorder="1" applyFill="1" applyFont="1">
      <alignment horizontal="left" vertical="center"/>
    </xf>
    <xf borderId="38" fillId="0" fontId="13" numFmtId="0" xfId="0" applyAlignment="1" applyBorder="1" applyFont="1">
      <alignment horizontal="center"/>
    </xf>
    <xf borderId="38" fillId="0" fontId="13" numFmtId="1" xfId="0" applyBorder="1" applyFont="1" applyNumberFormat="1"/>
    <xf borderId="38" fillId="3" fontId="14" numFmtId="1" xfId="0" applyAlignment="1" applyBorder="1" applyFont="1" applyNumberFormat="1">
      <alignment vertical="center"/>
    </xf>
    <xf borderId="25" fillId="3" fontId="14" numFmtId="0" xfId="0" applyAlignment="1" applyBorder="1" applyFont="1">
      <alignment horizontal="center" vertical="center"/>
    </xf>
    <xf borderId="80" fillId="0" fontId="14" numFmtId="0" xfId="0" applyAlignment="1" applyBorder="1" applyFont="1">
      <alignment horizontal="left"/>
    </xf>
    <xf borderId="38" fillId="0" fontId="14" numFmtId="0" xfId="0" applyAlignment="1" applyBorder="1" applyFont="1">
      <alignment horizontal="center" shrinkToFit="0" wrapText="1"/>
    </xf>
    <xf borderId="38" fillId="0" fontId="14" numFmtId="1" xfId="0" applyAlignment="1" applyBorder="1" applyFont="1" applyNumberFormat="1">
      <alignment shrinkToFit="0" wrapText="1"/>
    </xf>
    <xf borderId="38" fillId="0" fontId="13" numFmtId="0" xfId="0" applyAlignment="1" applyBorder="1" applyFont="1">
      <alignment horizontal="center" shrinkToFit="0" wrapText="1"/>
    </xf>
    <xf borderId="38" fillId="0" fontId="13" numFmtId="1" xfId="0" applyAlignment="1" applyBorder="1" applyFont="1" applyNumberFormat="1">
      <alignment shrinkToFit="0" wrapText="1"/>
    </xf>
    <xf borderId="106" fillId="3" fontId="14" numFmtId="0" xfId="0" applyAlignment="1" applyBorder="1" applyFont="1">
      <alignment vertical="center"/>
    </xf>
    <xf borderId="38" fillId="0" fontId="14" numFmtId="1" xfId="0" applyBorder="1" applyFont="1" applyNumberFormat="1"/>
    <xf borderId="38" fillId="3" fontId="13" numFmtId="1" xfId="0" applyAlignment="1" applyBorder="1" applyFont="1" applyNumberFormat="1">
      <alignment vertical="center"/>
    </xf>
    <xf borderId="68" fillId="0" fontId="26" numFmtId="0" xfId="0" applyAlignment="1" applyBorder="1" applyFont="1">
      <alignment vertical="center"/>
    </xf>
    <xf borderId="22" fillId="0" fontId="26" numFmtId="0" xfId="0" applyAlignment="1" applyBorder="1" applyFont="1">
      <alignment horizontal="center" shrinkToFit="0" vertical="center" wrapText="1"/>
    </xf>
    <xf borderId="69" fillId="0" fontId="26" numFmtId="0" xfId="0" applyAlignment="1" applyBorder="1" applyFont="1">
      <alignment vertical="center"/>
    </xf>
    <xf borderId="5" fillId="3" fontId="13" numFmtId="0" xfId="0" applyAlignment="1" applyBorder="1" applyFont="1">
      <alignment horizontal="center" vertical="center"/>
    </xf>
    <xf borderId="80" fillId="7" fontId="13" numFmtId="0" xfId="0" applyAlignment="1" applyBorder="1" applyFont="1">
      <alignment horizontal="left" shrinkToFit="1" vertical="center" wrapText="0"/>
    </xf>
    <xf borderId="80" fillId="0" fontId="14" numFmtId="0" xfId="0" applyAlignment="1" applyBorder="1" applyFont="1">
      <alignment horizontal="left" shrinkToFit="0" vertical="center" wrapText="1"/>
    </xf>
    <xf borderId="80" fillId="0" fontId="14" numFmtId="0" xfId="0" applyAlignment="1" applyBorder="1" applyFont="1">
      <alignment horizontal="left" shrinkToFit="0" wrapText="1"/>
    </xf>
    <xf borderId="38" fillId="0" fontId="14" numFmtId="1" xfId="0" applyAlignment="1" applyBorder="1" applyFont="1" applyNumberFormat="1">
      <alignment shrinkToFit="0" vertical="center" wrapText="1"/>
    </xf>
    <xf borderId="25" fillId="3" fontId="14" numFmtId="0" xfId="0" applyAlignment="1" applyBorder="1" applyFont="1">
      <alignment horizontal="center" shrinkToFit="0" vertical="center" wrapText="1"/>
    </xf>
    <xf borderId="80" fillId="0" fontId="14" numFmtId="0" xfId="0" applyAlignment="1" applyBorder="1" applyFont="1">
      <alignment horizontal="left" shrinkToFit="0" vertical="top" wrapText="1"/>
    </xf>
    <xf borderId="38" fillId="0" fontId="13" numFmtId="0" xfId="0" applyAlignment="1" applyBorder="1" applyFont="1">
      <alignment horizontal="center" shrinkToFit="0" vertical="center" wrapText="1"/>
    </xf>
    <xf borderId="38" fillId="0" fontId="13" numFmtId="1" xfId="0" applyAlignment="1" applyBorder="1" applyFont="1" applyNumberFormat="1">
      <alignment vertical="center"/>
    </xf>
    <xf borderId="80" fillId="0" fontId="14" numFmtId="0" xfId="0" applyAlignment="1" applyBorder="1" applyFont="1">
      <alignment horizontal="left" vertical="center"/>
    </xf>
    <xf borderId="17" fillId="0" fontId="14" numFmtId="0" xfId="0" applyAlignment="1" applyBorder="1" applyFont="1">
      <alignment horizontal="left"/>
    </xf>
    <xf borderId="69" fillId="0" fontId="13" numFmtId="0" xfId="0" applyAlignment="1" applyBorder="1" applyFont="1">
      <alignment horizontal="center" shrinkToFit="0" wrapText="1"/>
    </xf>
    <xf borderId="69" fillId="0" fontId="13" numFmtId="1" xfId="0" applyBorder="1" applyFont="1" applyNumberFormat="1"/>
    <xf borderId="69" fillId="3" fontId="14" numFmtId="1" xfId="0" applyAlignment="1" applyBorder="1" applyFont="1" applyNumberFormat="1">
      <alignment vertical="center"/>
    </xf>
    <xf borderId="22" fillId="3" fontId="14" numFmtId="0" xfId="0" applyAlignment="1" applyBorder="1" applyFont="1">
      <alignment horizontal="center" vertical="center"/>
    </xf>
    <xf borderId="5" fillId="7" fontId="13" numFmtId="0" xfId="0" applyAlignment="1" applyBorder="1" applyFont="1">
      <alignment horizontal="center" vertical="center"/>
    </xf>
    <xf borderId="5" fillId="7" fontId="13" numFmtId="0" xfId="0" applyAlignment="1" applyBorder="1" applyFont="1">
      <alignment vertical="center"/>
    </xf>
    <xf borderId="5" fillId="7" fontId="13" numFmtId="1" xfId="0" applyAlignment="1" applyBorder="1" applyFont="1" applyNumberFormat="1">
      <alignment horizontal="center" vertical="center"/>
    </xf>
    <xf borderId="5" fillId="7" fontId="14" numFmtId="0" xfId="0" applyAlignment="1" applyBorder="1" applyFont="1">
      <alignment vertical="center"/>
    </xf>
    <xf borderId="1" fillId="4" fontId="14" numFmtId="0" xfId="0" applyAlignment="1" applyBorder="1" applyFont="1">
      <alignment horizontal="center" vertical="center"/>
    </xf>
    <xf borderId="9" fillId="8" fontId="27" numFmtId="0" xfId="0" applyAlignment="1" applyBorder="1" applyFill="1" applyFont="1">
      <alignment horizontal="center" vertical="center"/>
    </xf>
    <xf borderId="5" fillId="4" fontId="14" numFmtId="0" xfId="0" applyAlignment="1" applyBorder="1" applyFont="1">
      <alignment horizontal="center" vertical="center"/>
    </xf>
    <xf borderId="57" fillId="5" fontId="13" numFmtId="0" xfId="0" applyAlignment="1" applyBorder="1" applyFont="1">
      <alignment horizontal="center" vertical="center"/>
    </xf>
    <xf borderId="25" fillId="5" fontId="13" numFmtId="0" xfId="0" applyAlignment="1" applyBorder="1" applyFont="1">
      <alignment horizontal="center" vertical="center"/>
    </xf>
    <xf borderId="25" fillId="5" fontId="13" numFmtId="0" xfId="0" applyAlignment="1" applyBorder="1" applyFont="1">
      <alignment horizontal="center" shrinkToFit="1" vertical="center" wrapText="0"/>
    </xf>
    <xf borderId="57" fillId="4" fontId="13" numFmtId="0" xfId="0" applyAlignment="1" applyBorder="1" applyFont="1">
      <alignment horizontal="center" vertical="center"/>
    </xf>
    <xf borderId="25" fillId="4" fontId="13" numFmtId="0" xfId="0" applyAlignment="1" applyBorder="1" applyFont="1">
      <alignment horizontal="center" vertical="center"/>
    </xf>
    <xf borderId="38" fillId="4" fontId="13" numFmtId="0" xfId="0" applyAlignment="1" applyBorder="1" applyFont="1">
      <alignment horizontal="center" vertical="center"/>
    </xf>
    <xf borderId="66" fillId="4" fontId="13" numFmtId="0" xfId="0" applyAlignment="1" applyBorder="1" applyFont="1">
      <alignment horizontal="center" vertical="center"/>
    </xf>
    <xf borderId="5" fillId="4" fontId="28" numFmtId="0" xfId="0" applyAlignment="1" applyBorder="1" applyFont="1">
      <alignment horizontal="right" shrinkToFit="0" wrapText="1"/>
    </xf>
    <xf borderId="5" fillId="3" fontId="29" numFmtId="0" xfId="0" applyAlignment="1" applyBorder="1" applyFont="1">
      <alignment vertical="center"/>
    </xf>
    <xf borderId="57" fillId="4" fontId="14" numFmtId="0" xfId="0" applyAlignment="1" applyBorder="1" applyFont="1">
      <alignment horizontal="center" vertical="center"/>
    </xf>
    <xf borderId="25" fillId="4" fontId="14" numFmtId="0" xfId="0" applyAlignment="1" applyBorder="1" applyFont="1">
      <alignment horizontal="center" vertical="center"/>
    </xf>
    <xf borderId="38" fillId="3" fontId="14" numFmtId="0" xfId="0" applyAlignment="1" applyBorder="1" applyFont="1">
      <alignment horizontal="center" vertical="center"/>
    </xf>
    <xf borderId="66" fillId="3" fontId="14" numFmtId="0" xfId="0" applyAlignment="1" applyBorder="1" applyFont="1">
      <alignment horizontal="center" vertical="center"/>
    </xf>
    <xf borderId="5" fillId="4" fontId="29" numFmtId="0" xfId="0" applyAlignment="1" applyBorder="1" applyFont="1">
      <alignment vertical="center"/>
    </xf>
    <xf borderId="80" fillId="9" fontId="13" numFmtId="0" xfId="0" applyAlignment="1" applyBorder="1" applyFill="1" applyFont="1">
      <alignment horizontal="left" vertical="center"/>
    </xf>
    <xf borderId="57" fillId="4" fontId="13" numFmtId="0" xfId="0" applyAlignment="1" applyBorder="1" applyFont="1">
      <alignment vertical="center"/>
    </xf>
    <xf borderId="38" fillId="4" fontId="30" numFmtId="0" xfId="0" applyAlignment="1" applyBorder="1" applyFont="1">
      <alignment vertical="center"/>
    </xf>
    <xf borderId="17" fillId="4" fontId="13" numFmtId="0" xfId="0" applyAlignment="1" applyBorder="1" applyFont="1">
      <alignment horizontal="left" vertical="center"/>
    </xf>
    <xf borderId="5" fillId="4" fontId="14" numFmtId="0" xfId="0" applyAlignment="1" applyBorder="1" applyFont="1">
      <alignment horizontal="left" vertical="center"/>
    </xf>
    <xf borderId="5" fillId="4" fontId="14" numFmtId="0" xfId="0" applyAlignment="1" applyBorder="1" applyFont="1">
      <alignment horizontal="right" vertical="center"/>
    </xf>
    <xf borderId="1" fillId="3" fontId="13" numFmtId="0" xfId="0" applyAlignment="1" applyBorder="1" applyFont="1">
      <alignment vertical="center"/>
    </xf>
    <xf borderId="5" fillId="3" fontId="13" numFmtId="0" xfId="0" applyAlignment="1" applyBorder="1" applyFont="1">
      <alignment horizontal="left" vertical="center"/>
    </xf>
    <xf borderId="5" fillId="3" fontId="31" numFmtId="0" xfId="0" applyAlignment="1" applyBorder="1" applyFont="1">
      <alignment vertical="center"/>
    </xf>
    <xf borderId="0" fillId="0" fontId="32" numFmtId="0" xfId="0" applyAlignment="1" applyFont="1">
      <alignment horizontal="left" vertical="center"/>
    </xf>
    <xf borderId="34" fillId="4" fontId="6" numFmtId="0" xfId="0" applyAlignment="1" applyBorder="1" applyFont="1">
      <alignment horizontal="center"/>
    </xf>
    <xf borderId="39" fillId="4" fontId="6" numFmtId="0" xfId="0" applyAlignment="1" applyBorder="1" applyFont="1">
      <alignment horizontal="center"/>
    </xf>
    <xf borderId="60" fillId="0" fontId="6" numFmtId="0" xfId="0" applyAlignment="1" applyBorder="1" applyFont="1">
      <alignment horizontal="center"/>
    </xf>
    <xf borderId="63" fillId="0" fontId="6" numFmtId="0" xfId="0" applyAlignment="1" applyBorder="1" applyFont="1">
      <alignment horizontal="center"/>
    </xf>
  </cellXfs>
  <cellStyles count="1">
    <cellStyle xfId="0" name="Normal" builtinId="0"/>
  </cellStyles>
  <dxfs count="3">
    <dxf>
      <font>
        <b/>
        <color rgb="FFDD0806"/>
      </font>
      <fill>
        <patternFill patternType="solid">
          <fgColor rgb="FFDD0806"/>
          <bgColor rgb="FFDD0806"/>
        </patternFill>
      </fill>
      <border/>
    </dxf>
    <dxf>
      <font/>
      <fill>
        <patternFill patternType="solid">
          <fgColor rgb="FF000080"/>
          <bgColor rgb="FF000080"/>
        </patternFill>
      </fill>
      <border/>
    </dxf>
    <dxf>
      <font/>
      <fill>
        <patternFill patternType="solid">
          <fgColor rgb="FFDD0806"/>
          <bgColor rgb="FFDD0806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customschemas.google.com/relationships/workbookmetadata" Target="metadata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171450</xdr:colOff>
      <xdr:row>19</xdr:row>
      <xdr:rowOff>19050</xdr:rowOff>
    </xdr:from>
    <xdr:ext cx="14706600" cy="628650"/>
    <xdr:sp>
      <xdr:nvSpPr>
        <xdr:cNvPr id="3" name="Shape 3"/>
        <xdr:cNvSpPr/>
      </xdr:nvSpPr>
      <xdr:spPr>
        <a:xfrm>
          <a:off x="0" y="3470438"/>
          <a:ext cx="10692000" cy="619125"/>
        </a:xfrm>
        <a:prstGeom prst="rect">
          <a:avLst/>
        </a:prstGeom>
        <a:solidFill>
          <a:srgbClr val="FFFFFF"/>
        </a:solidFill>
        <a:ln cap="flat" cmpd="sng" w="9525">
          <a:solidFill>
            <a:srgbClr val="000000"/>
          </a:solidFill>
          <a:prstDash val="solid"/>
          <a:miter lim="8000"/>
          <a:headEnd len="sm" w="sm" type="none"/>
          <a:tailEnd len="sm" w="sm" type="none"/>
        </a:ln>
      </xdr:spPr>
      <xdr:txBody>
        <a:bodyPr anchorCtr="0" anchor="t" bIns="0" lIns="45700" spcFirstLastPara="1" rIns="45700" wrap="square" tIns="411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0" i="0" lang="en-US" sz="2600" u="none" strike="noStrike">
              <a:solidFill>
                <a:srgbClr val="000000"/>
              </a:solidFill>
              <a:latin typeface="Candara"/>
              <a:ea typeface="Candara"/>
              <a:cs typeface="Candara"/>
              <a:sym typeface="Candara"/>
            </a:rPr>
            <a:t>pls scan the measurement spec and paste</a:t>
          </a:r>
          <a:endParaRPr sz="1400"/>
        </a:p>
      </xdr:txBody>
    </xdr:sp>
    <xdr:clientData fLocksWithSheet="0"/>
  </xdr:oneCellAnchor>
  <xdr:oneCellAnchor>
    <xdr:from>
      <xdr:col>5</xdr:col>
      <xdr:colOff>657225</xdr:colOff>
      <xdr:row>0</xdr:row>
      <xdr:rowOff>114300</xdr:rowOff>
    </xdr:from>
    <xdr:ext cx="5324475" cy="323850"/>
    <xdr:sp>
      <xdr:nvSpPr>
        <xdr:cNvPr id="4" name="Shape 4"/>
        <xdr:cNvSpPr/>
      </xdr:nvSpPr>
      <xdr:spPr>
        <a:xfrm>
          <a:off x="2688525" y="3622838"/>
          <a:ext cx="5314950" cy="314325"/>
        </a:xfrm>
        <a:prstGeom prst="rect">
          <a:avLst/>
        </a:prstGeom>
        <a:noFill/>
        <a:ln cap="flat" cmpd="sng" w="9525">
          <a:solidFill>
            <a:srgbClr val="FFFFFF"/>
          </a:solidFill>
          <a:prstDash val="solid"/>
          <a:miter lim="8000"/>
          <a:headEnd len="sm" w="sm" type="none"/>
          <a:tailEnd len="sm" w="sm" type="none"/>
        </a:ln>
        <a:effectLst>
          <a:outerShdw blurRad="63500" rotWithShape="0" dir="5400000" dist="23000">
            <a:srgbClr val="000000">
              <a:alpha val="34902"/>
            </a:srgbClr>
          </a:outerShdw>
        </a:effectLst>
      </xdr:spPr>
      <xdr:txBody>
        <a:bodyPr anchorCtr="0" anchor="ctr" bIns="32000" lIns="36575" spcFirstLastPara="1" rIns="36575" wrap="square" tIns="32000">
          <a:noAutofit/>
        </a:bodyPr>
        <a:lstStyle/>
        <a:p>
          <a:pPr indent="0" lvl="0" marL="0" rtl="0" algn="r">
            <a:spcBef>
              <a:spcPts val="0"/>
            </a:spcBef>
            <a:spcAft>
              <a:spcPts val="0"/>
            </a:spcAft>
            <a:buNone/>
          </a:pPr>
          <a:r>
            <a:rPr b="1" i="0" lang="en-US" sz="2400" u="none" strike="noStrike">
              <a:solidFill>
                <a:srgbClr val="000000"/>
              </a:solidFill>
              <a:latin typeface="Calibri"/>
              <a:ea typeface="Calibri"/>
              <a:cs typeface="Calibri"/>
              <a:sym typeface="Calibri"/>
            </a:rPr>
            <a:t>NHA BE CORPORATION</a:t>
          </a:r>
          <a:endParaRPr sz="1400"/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247650</xdr:colOff>
      <xdr:row>0</xdr:row>
      <xdr:rowOff>19050</xdr:rowOff>
    </xdr:from>
    <xdr:ext cx="6219825" cy="581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857250</xdr:colOff>
      <xdr:row>0</xdr:row>
      <xdr:rowOff>161925</xdr:rowOff>
    </xdr:from>
    <xdr:ext cx="6934200" cy="304800"/>
    <xdr:sp>
      <xdr:nvSpPr>
        <xdr:cNvPr id="5" name="Shape 5"/>
        <xdr:cNvSpPr/>
      </xdr:nvSpPr>
      <xdr:spPr>
        <a:xfrm>
          <a:off x="1883663" y="3627600"/>
          <a:ext cx="6924675" cy="304800"/>
        </a:xfrm>
        <a:prstGeom prst="rect">
          <a:avLst/>
        </a:prstGeom>
        <a:noFill/>
        <a:ln cap="flat" cmpd="sng" w="9525">
          <a:solidFill>
            <a:srgbClr val="FFFFFF"/>
          </a:solidFill>
          <a:prstDash val="solid"/>
          <a:miter lim="8000"/>
          <a:headEnd len="sm" w="sm" type="none"/>
          <a:tailEnd len="sm" w="sm" type="none"/>
        </a:ln>
        <a:effectLst>
          <a:outerShdw blurRad="63500" rotWithShape="0" dir="5400000" dist="23000">
            <a:srgbClr val="000000">
              <a:alpha val="34902"/>
            </a:srgbClr>
          </a:outerShdw>
        </a:effectLst>
      </xdr:spPr>
      <xdr:txBody>
        <a:bodyPr anchorCtr="0" anchor="ctr" bIns="32000" lIns="36575" spcFirstLastPara="1" rIns="36575" wrap="square" tIns="320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i="0" lang="en-US" sz="2000" u="none" strike="noStrike">
              <a:solidFill>
                <a:srgbClr val="000000"/>
              </a:solidFill>
              <a:latin typeface="Calibri"/>
              <a:ea typeface="Calibri"/>
              <a:cs typeface="Calibri"/>
              <a:sym typeface="Calibri"/>
            </a:rPr>
            <a:t>NHA BE CORPORATION</a:t>
          </a:r>
          <a:endParaRPr sz="1400"/>
        </a:p>
      </xdr:txBody>
    </xdr:sp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6600"/>
    <pageSetUpPr/>
  </sheetPr>
  <sheetViews>
    <sheetView workbookViewId="0"/>
  </sheetViews>
  <sheetFormatPr customHeight="1" defaultColWidth="12.63" defaultRowHeight="15.0"/>
  <cols>
    <col customWidth="1" min="1" max="1" width="17.0"/>
    <col customWidth="1" min="2" max="2" width="10.88"/>
    <col customWidth="1" min="3" max="3" width="9.0"/>
    <col customWidth="1" min="4" max="4" width="10.38"/>
    <col customWidth="1" min="5" max="5" width="8.75"/>
    <col customWidth="1" min="6" max="6" width="9.5"/>
    <col customWidth="1" min="7" max="7" width="6.75"/>
    <col customWidth="1" min="8" max="8" width="8.25"/>
    <col customWidth="1" min="9" max="9" width="7.25"/>
    <col customWidth="1" min="10" max="10" width="18.5"/>
    <col customWidth="1" min="11" max="11" width="8.5"/>
    <col customWidth="1" min="12" max="12" width="11.75"/>
    <col customWidth="1" min="13" max="13" width="16.13"/>
    <col customWidth="1" min="14" max="26" width="11.5"/>
  </cols>
  <sheetData>
    <row r="1" ht="9.75" customHeight="1">
      <c r="A1" s="7"/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16" t="s">
        <v>4</v>
      </c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41.25" customHeight="1">
      <c r="A2" s="30" t="s">
        <v>8</v>
      </c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7"/>
      <c r="N2" s="40" t="s">
        <v>11</v>
      </c>
      <c r="O2" s="42"/>
      <c r="P2" s="42"/>
      <c r="Q2" s="42"/>
      <c r="R2" s="42"/>
      <c r="S2" s="42"/>
      <c r="T2" s="42"/>
      <c r="U2" s="42"/>
      <c r="V2" s="42"/>
      <c r="W2" s="42"/>
      <c r="X2" s="42"/>
      <c r="Y2" s="42"/>
      <c r="Z2" s="42"/>
    </row>
    <row r="3" ht="17.25" customHeight="1">
      <c r="A3" s="50" t="s">
        <v>15</v>
      </c>
      <c r="B3" s="52"/>
      <c r="C3" s="56" t="s">
        <v>16</v>
      </c>
      <c r="D3" s="56"/>
      <c r="E3" s="56" t="s">
        <v>17</v>
      </c>
      <c r="F3" s="59" t="b">
        <v>0</v>
      </c>
      <c r="G3" s="56"/>
      <c r="H3" s="56"/>
      <c r="I3" s="56" t="s">
        <v>18</v>
      </c>
      <c r="J3" s="59"/>
      <c r="K3" s="61" t="s">
        <v>19</v>
      </c>
      <c r="L3" s="37"/>
      <c r="M3" s="64" t="b">
        <v>0</v>
      </c>
      <c r="N3" s="40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ht="16.5" customHeight="1">
      <c r="A4" s="70" t="s">
        <v>3</v>
      </c>
      <c r="B4" s="71"/>
      <c r="C4" s="72" t="s">
        <v>6</v>
      </c>
      <c r="D4" s="74"/>
      <c r="E4" s="77"/>
      <c r="F4" s="72" t="s">
        <v>5</v>
      </c>
      <c r="G4" s="79"/>
      <c r="H4" s="82"/>
      <c r="I4" s="82"/>
      <c r="J4" s="79"/>
      <c r="K4" s="77"/>
      <c r="L4" s="72" t="s">
        <v>14</v>
      </c>
      <c r="M4" s="86"/>
      <c r="N4" s="87"/>
      <c r="O4" s="87"/>
      <c r="P4" s="87"/>
      <c r="Q4" s="87"/>
      <c r="R4" s="87"/>
      <c r="S4" s="87"/>
      <c r="T4" s="87"/>
      <c r="U4" s="87"/>
      <c r="V4" s="87"/>
      <c r="W4" s="87"/>
      <c r="X4" s="87"/>
      <c r="Y4" s="87"/>
      <c r="Z4" s="87"/>
    </row>
    <row r="5" ht="40.5" customHeight="1">
      <c r="A5" s="93" t="s">
        <v>7</v>
      </c>
      <c r="B5" s="94">
        <v>20000.0</v>
      </c>
      <c r="C5" s="96" t="s">
        <v>9</v>
      </c>
      <c r="D5" s="97"/>
      <c r="E5" s="98">
        <f>VLOOKUP(B5,H94:I103,2,1)</f>
        <v>315</v>
      </c>
      <c r="F5" s="99" t="s">
        <v>30</v>
      </c>
      <c r="G5" s="37"/>
      <c r="H5" s="100"/>
      <c r="I5" s="101" t="s">
        <v>10</v>
      </c>
      <c r="J5" s="102"/>
      <c r="K5" s="37"/>
      <c r="L5" s="103" t="s">
        <v>31</v>
      </c>
      <c r="M5" s="104"/>
      <c r="N5" s="87"/>
      <c r="O5" s="87"/>
      <c r="P5" s="87"/>
      <c r="Q5" s="87"/>
      <c r="R5" s="87"/>
      <c r="S5" s="87"/>
      <c r="T5" s="87"/>
      <c r="U5" s="87"/>
      <c r="V5" s="87"/>
      <c r="W5" s="87"/>
      <c r="X5" s="87"/>
      <c r="Y5" s="87"/>
      <c r="Z5" s="87"/>
    </row>
    <row r="6" ht="16.5" customHeight="1">
      <c r="A6" s="109" t="s">
        <v>32</v>
      </c>
      <c r="B6" s="110" t="s">
        <v>33</v>
      </c>
      <c r="C6" s="34"/>
      <c r="D6" s="37"/>
      <c r="E6" s="110" t="s">
        <v>34</v>
      </c>
      <c r="F6" s="34"/>
      <c r="G6" s="34"/>
      <c r="H6" s="37"/>
      <c r="I6" s="110" t="s">
        <v>35</v>
      </c>
      <c r="J6" s="34"/>
      <c r="K6" s="34"/>
      <c r="L6" s="34"/>
      <c r="M6" s="108"/>
      <c r="N6" s="87"/>
      <c r="O6" s="111"/>
      <c r="P6" s="87"/>
      <c r="Q6" s="87"/>
      <c r="R6" s="87"/>
      <c r="S6" s="87"/>
      <c r="T6" s="87"/>
      <c r="U6" s="87"/>
      <c r="V6" s="87"/>
      <c r="W6" s="87"/>
      <c r="X6" s="87"/>
      <c r="Y6" s="87"/>
      <c r="Z6" s="87"/>
    </row>
    <row r="7" ht="33.0" customHeight="1">
      <c r="A7" s="112" t="s">
        <v>38</v>
      </c>
      <c r="B7" s="113" t="s">
        <v>39</v>
      </c>
      <c r="C7" s="24"/>
      <c r="D7" s="114" t="s">
        <v>40</v>
      </c>
      <c r="E7" s="24"/>
      <c r="F7" s="113" t="s">
        <v>41</v>
      </c>
      <c r="G7" s="24"/>
      <c r="H7" s="113" t="s">
        <v>42</v>
      </c>
      <c r="I7" s="24"/>
      <c r="J7" s="114"/>
      <c r="K7" s="24"/>
      <c r="L7" s="115"/>
      <c r="M7" s="116"/>
      <c r="N7" s="87"/>
      <c r="O7" s="87"/>
      <c r="P7" s="87"/>
      <c r="Q7" s="87"/>
      <c r="R7" s="87"/>
      <c r="S7" s="87"/>
      <c r="T7" s="87"/>
      <c r="U7" s="87"/>
      <c r="V7" s="87"/>
      <c r="W7" s="87"/>
      <c r="X7" s="87"/>
      <c r="Y7" s="87"/>
      <c r="Z7" s="87"/>
    </row>
    <row r="8" ht="12.75" customHeight="1">
      <c r="A8" s="117" t="s">
        <v>43</v>
      </c>
      <c r="B8" s="118"/>
      <c r="C8" s="119" t="s">
        <v>44</v>
      </c>
      <c r="D8" s="120" t="s">
        <v>45</v>
      </c>
      <c r="E8" s="121"/>
      <c r="F8" s="121"/>
      <c r="G8" s="119" t="s">
        <v>44</v>
      </c>
      <c r="H8" s="120" t="s">
        <v>45</v>
      </c>
      <c r="I8" s="121"/>
      <c r="J8" s="121" t="s">
        <v>11</v>
      </c>
      <c r="K8" s="121"/>
      <c r="L8" s="119" t="s">
        <v>44</v>
      </c>
      <c r="M8" s="120" t="s">
        <v>45</v>
      </c>
      <c r="N8" s="87"/>
      <c r="O8" s="87"/>
      <c r="P8" s="87"/>
      <c r="Q8" s="87"/>
      <c r="R8" s="87"/>
      <c r="S8" s="87"/>
      <c r="T8" s="87"/>
      <c r="U8" s="87"/>
      <c r="V8" s="87"/>
      <c r="W8" s="87"/>
      <c r="X8" s="87"/>
      <c r="Y8" s="87"/>
      <c r="Z8" s="87"/>
    </row>
    <row r="9" ht="16.5" customHeight="1">
      <c r="A9" s="122" t="s">
        <v>46</v>
      </c>
      <c r="B9" s="68"/>
      <c r="C9" s="68"/>
      <c r="D9" s="69"/>
      <c r="E9" s="122" t="s">
        <v>47</v>
      </c>
      <c r="F9" s="68"/>
      <c r="G9" s="68"/>
      <c r="H9" s="69"/>
      <c r="I9" s="123" t="s">
        <v>48</v>
      </c>
      <c r="J9" s="124"/>
      <c r="K9" s="124"/>
      <c r="L9" s="125"/>
      <c r="M9" s="126"/>
      <c r="N9" s="127"/>
      <c r="O9" s="127"/>
      <c r="P9" s="127"/>
      <c r="Q9" s="127"/>
      <c r="R9" s="127"/>
      <c r="S9" s="127"/>
      <c r="T9" s="127"/>
      <c r="U9" s="127"/>
      <c r="V9" s="127"/>
      <c r="W9" s="127"/>
      <c r="X9" s="127"/>
      <c r="Y9" s="127"/>
      <c r="Z9" s="127"/>
    </row>
    <row r="10" ht="16.5" customHeight="1">
      <c r="A10" s="128" t="s">
        <v>49</v>
      </c>
      <c r="B10" s="124"/>
      <c r="C10" s="129" t="s">
        <v>44</v>
      </c>
      <c r="D10" s="130"/>
      <c r="E10" s="128" t="s">
        <v>50</v>
      </c>
      <c r="F10" s="124" t="s">
        <v>51</v>
      </c>
      <c r="G10" s="129"/>
      <c r="H10" s="133"/>
      <c r="I10" s="135" t="s">
        <v>52</v>
      </c>
      <c r="J10" s="14"/>
      <c r="K10" s="15"/>
      <c r="L10" s="129" t="s">
        <v>44</v>
      </c>
      <c r="M10" s="130"/>
      <c r="N10" s="127"/>
      <c r="O10" s="127"/>
      <c r="P10" s="127"/>
      <c r="Q10" s="127"/>
      <c r="R10" s="127"/>
      <c r="S10" s="127"/>
      <c r="T10" s="127"/>
      <c r="U10" s="127"/>
      <c r="V10" s="127"/>
      <c r="W10" s="127"/>
      <c r="X10" s="127"/>
      <c r="Y10" s="127"/>
      <c r="Z10" s="127"/>
    </row>
    <row r="11" ht="16.5" customHeight="1">
      <c r="A11" s="138" t="s">
        <v>53</v>
      </c>
      <c r="B11" s="139"/>
      <c r="C11" s="140" t="s">
        <v>44</v>
      </c>
      <c r="D11" s="141"/>
      <c r="E11" s="138" t="s">
        <v>54</v>
      </c>
      <c r="F11" s="142"/>
      <c r="G11" s="140" t="s">
        <v>44</v>
      </c>
      <c r="H11" s="143"/>
      <c r="I11" s="144" t="s">
        <v>55</v>
      </c>
      <c r="J11" s="34"/>
      <c r="K11" s="37"/>
      <c r="L11" s="145" t="s">
        <v>44</v>
      </c>
      <c r="M11" s="141"/>
      <c r="N11" s="42"/>
      <c r="O11" s="127"/>
      <c r="P11" s="146"/>
      <c r="Q11" s="127"/>
      <c r="R11" s="127"/>
      <c r="S11" s="127"/>
      <c r="T11" s="127"/>
      <c r="U11" s="127"/>
      <c r="V11" s="127"/>
      <c r="W11" s="127"/>
      <c r="X11" s="127"/>
      <c r="Y11" s="127"/>
      <c r="Z11" s="127"/>
    </row>
    <row r="12" ht="15.0" customHeight="1">
      <c r="A12" s="147" t="s">
        <v>56</v>
      </c>
      <c r="B12" s="148"/>
      <c r="C12" s="140" t="s">
        <v>44</v>
      </c>
      <c r="D12" s="141"/>
      <c r="E12" s="147" t="s">
        <v>57</v>
      </c>
      <c r="F12" s="148"/>
      <c r="G12" s="140" t="s">
        <v>44</v>
      </c>
      <c r="H12" s="143"/>
      <c r="I12" s="138" t="s">
        <v>58</v>
      </c>
      <c r="J12" s="149"/>
      <c r="K12" s="139"/>
      <c r="L12" s="145" t="s">
        <v>44</v>
      </c>
      <c r="M12" s="150"/>
      <c r="N12" s="146"/>
      <c r="O12" s="146"/>
      <c r="P12" s="42"/>
      <c r="Q12" s="146"/>
      <c r="R12" s="146"/>
      <c r="S12" s="42"/>
      <c r="T12" s="42"/>
      <c r="U12" s="42"/>
      <c r="V12" s="42"/>
      <c r="W12" s="42"/>
      <c r="X12" s="42"/>
      <c r="Y12" s="42"/>
      <c r="Z12" s="42"/>
    </row>
    <row r="13" ht="15.0" customHeight="1">
      <c r="A13" s="138" t="s">
        <v>59</v>
      </c>
      <c r="B13" s="139"/>
      <c r="C13" s="140" t="s">
        <v>44</v>
      </c>
      <c r="D13" s="141"/>
      <c r="E13" s="138" t="s">
        <v>60</v>
      </c>
      <c r="F13" s="139"/>
      <c r="G13" s="140"/>
      <c r="H13" s="143"/>
      <c r="I13" s="138" t="s">
        <v>61</v>
      </c>
      <c r="J13" s="149"/>
      <c r="K13" s="139"/>
      <c r="L13" s="145" t="s">
        <v>44</v>
      </c>
      <c r="M13" s="141"/>
      <c r="N13" s="42"/>
      <c r="O13" s="42"/>
      <c r="P13" s="42"/>
      <c r="Q13" s="42"/>
      <c r="R13" s="42"/>
      <c r="S13" s="42"/>
      <c r="T13" s="42"/>
      <c r="U13" s="42"/>
      <c r="V13" s="42"/>
      <c r="W13" s="42"/>
      <c r="X13" s="42"/>
      <c r="Y13" s="42"/>
      <c r="Z13" s="42"/>
    </row>
    <row r="14" ht="15.0" customHeight="1">
      <c r="A14" s="147" t="s">
        <v>62</v>
      </c>
      <c r="B14" s="148"/>
      <c r="C14" s="140" t="s">
        <v>44</v>
      </c>
      <c r="D14" s="141"/>
      <c r="E14" s="147" t="s">
        <v>63</v>
      </c>
      <c r="F14" s="148" t="s">
        <v>64</v>
      </c>
      <c r="G14" s="140" t="s">
        <v>11</v>
      </c>
      <c r="H14" s="143"/>
      <c r="I14" s="138" t="s">
        <v>65</v>
      </c>
      <c r="J14" s="149"/>
      <c r="K14" s="139"/>
      <c r="L14" s="145" t="s">
        <v>44</v>
      </c>
      <c r="M14" s="141"/>
      <c r="N14" s="42"/>
      <c r="O14" s="42"/>
      <c r="P14" s="42"/>
      <c r="Q14" s="42"/>
      <c r="R14" s="42"/>
      <c r="S14" s="42"/>
      <c r="T14" s="42"/>
      <c r="U14" s="42"/>
      <c r="V14" s="42"/>
      <c r="W14" s="42"/>
      <c r="X14" s="42"/>
      <c r="Y14" s="42"/>
      <c r="Z14" s="42"/>
    </row>
    <row r="15" ht="15.0" customHeight="1">
      <c r="A15" s="138"/>
      <c r="B15" s="139"/>
      <c r="C15" s="151"/>
      <c r="D15" s="152"/>
      <c r="E15" s="138" t="s">
        <v>66</v>
      </c>
      <c r="F15" s="139"/>
      <c r="G15" s="140"/>
      <c r="H15" s="143"/>
      <c r="I15" s="144" t="s">
        <v>67</v>
      </c>
      <c r="J15" s="34"/>
      <c r="K15" s="37"/>
      <c r="L15" s="145"/>
      <c r="M15" s="150"/>
      <c r="N15" s="146"/>
      <c r="O15" s="146"/>
      <c r="P15" s="42"/>
      <c r="Q15" s="42"/>
      <c r="R15" s="42"/>
      <c r="S15" s="42"/>
      <c r="T15" s="42"/>
      <c r="U15" s="42"/>
      <c r="V15" s="42"/>
      <c r="W15" s="42"/>
      <c r="X15" s="42"/>
      <c r="Y15" s="42"/>
      <c r="Z15" s="42"/>
    </row>
    <row r="16" ht="15.0" customHeight="1">
      <c r="A16" s="147"/>
      <c r="B16" s="148"/>
      <c r="C16" s="153"/>
      <c r="D16" s="154"/>
      <c r="E16" s="147" t="s">
        <v>68</v>
      </c>
      <c r="F16" s="148"/>
      <c r="G16" s="140"/>
      <c r="H16" s="143"/>
      <c r="I16" s="138" t="s">
        <v>69</v>
      </c>
      <c r="J16" s="149"/>
      <c r="K16" s="139"/>
      <c r="L16" s="140"/>
      <c r="M16" s="155"/>
      <c r="N16" s="42"/>
      <c r="O16" s="42"/>
      <c r="P16" s="42"/>
      <c r="Q16" s="42"/>
      <c r="R16" s="42"/>
      <c r="S16" s="42"/>
      <c r="T16" s="42"/>
      <c r="U16" s="42"/>
      <c r="V16" s="42"/>
      <c r="W16" s="42"/>
      <c r="X16" s="42"/>
      <c r="Y16" s="42"/>
      <c r="Z16" s="42"/>
    </row>
    <row r="17" ht="15.0" customHeight="1">
      <c r="A17" s="122" t="s">
        <v>70</v>
      </c>
      <c r="B17" s="68"/>
      <c r="C17" s="68"/>
      <c r="D17" s="69"/>
      <c r="E17" s="138" t="s">
        <v>71</v>
      </c>
      <c r="F17" s="139" t="s">
        <v>72</v>
      </c>
      <c r="G17" s="140" t="s">
        <v>44</v>
      </c>
      <c r="H17" s="143"/>
      <c r="I17" s="138" t="s">
        <v>73</v>
      </c>
      <c r="J17" s="149"/>
      <c r="K17" s="139"/>
      <c r="L17" s="140" t="s">
        <v>44</v>
      </c>
      <c r="M17" s="155"/>
      <c r="N17" s="42"/>
      <c r="O17" s="42"/>
      <c r="P17" s="42"/>
      <c r="Q17" s="42"/>
      <c r="R17" s="42"/>
      <c r="S17" s="42"/>
      <c r="T17" s="42"/>
      <c r="U17" s="42"/>
      <c r="V17" s="42"/>
      <c r="W17" s="42"/>
      <c r="X17" s="42"/>
      <c r="Y17" s="42"/>
      <c r="Z17" s="42"/>
    </row>
    <row r="18" ht="15.0" customHeight="1">
      <c r="A18" s="157" t="s">
        <v>74</v>
      </c>
      <c r="B18" s="158"/>
      <c r="C18" s="145" t="s">
        <v>44</v>
      </c>
      <c r="D18" s="155"/>
      <c r="E18" s="147"/>
      <c r="F18" s="148"/>
      <c r="G18" s="159"/>
      <c r="H18" s="160"/>
      <c r="I18" s="138" t="s">
        <v>75</v>
      </c>
      <c r="J18" s="149"/>
      <c r="K18" s="139"/>
      <c r="L18" s="161" t="s">
        <v>44</v>
      </c>
      <c r="M18" s="162"/>
      <c r="N18" s="42"/>
      <c r="O18" s="42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42"/>
    </row>
    <row r="19" ht="15.0" customHeight="1">
      <c r="A19" s="147" t="s">
        <v>76</v>
      </c>
      <c r="B19" s="148"/>
      <c r="C19" s="140" t="s">
        <v>44</v>
      </c>
      <c r="D19" s="141"/>
      <c r="E19" s="163" t="s">
        <v>77</v>
      </c>
      <c r="F19" s="164"/>
      <c r="G19" s="164"/>
      <c r="H19" s="164"/>
      <c r="I19" s="144" t="s">
        <v>78</v>
      </c>
      <c r="J19" s="34"/>
      <c r="K19" s="37"/>
      <c r="L19" s="151" t="s">
        <v>44</v>
      </c>
      <c r="M19" s="165"/>
      <c r="N19" s="42"/>
      <c r="O19" s="42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</row>
    <row r="20" ht="15.0" customHeight="1">
      <c r="A20" s="138" t="s">
        <v>79</v>
      </c>
      <c r="B20" s="139"/>
      <c r="C20" s="140" t="s">
        <v>44</v>
      </c>
      <c r="D20" s="141"/>
      <c r="E20" s="157" t="s">
        <v>80</v>
      </c>
      <c r="F20" s="158"/>
      <c r="G20" s="145" t="s">
        <v>44</v>
      </c>
      <c r="H20" s="167"/>
      <c r="I20" s="144" t="s">
        <v>81</v>
      </c>
      <c r="J20" s="34"/>
      <c r="K20" s="37"/>
      <c r="L20" s="151" t="s">
        <v>44</v>
      </c>
      <c r="M20" s="165"/>
      <c r="N20" s="42"/>
      <c r="O20" s="42"/>
      <c r="P20" s="42"/>
      <c r="Q20" s="42"/>
      <c r="R20" s="42"/>
      <c r="S20" s="42"/>
      <c r="T20" s="42"/>
      <c r="U20" s="42"/>
      <c r="V20" s="42"/>
      <c r="W20" s="42"/>
      <c r="X20" s="42"/>
      <c r="Y20" s="42"/>
      <c r="Z20" s="42"/>
    </row>
    <row r="21" ht="15.0" customHeight="1">
      <c r="A21" s="147" t="s">
        <v>82</v>
      </c>
      <c r="B21" s="148"/>
      <c r="C21" s="140"/>
      <c r="D21" s="141"/>
      <c r="E21" s="147" t="s">
        <v>83</v>
      </c>
      <c r="F21" s="148"/>
      <c r="G21" s="140" t="s">
        <v>44</v>
      </c>
      <c r="H21" s="143"/>
      <c r="I21" s="144"/>
      <c r="J21" s="34"/>
      <c r="K21" s="37"/>
      <c r="L21" s="173"/>
      <c r="M21" s="165"/>
      <c r="N21" s="42"/>
      <c r="O21" s="42"/>
      <c r="P21" s="42"/>
      <c r="Q21" s="42"/>
      <c r="R21" s="42"/>
      <c r="S21" s="42"/>
      <c r="T21" s="42"/>
      <c r="U21" s="42"/>
      <c r="V21" s="42"/>
      <c r="W21" s="42"/>
      <c r="X21" s="42"/>
      <c r="Y21" s="42"/>
      <c r="Z21" s="42"/>
    </row>
    <row r="22" ht="15.0" customHeight="1">
      <c r="A22" s="138" t="s">
        <v>84</v>
      </c>
      <c r="B22" s="139"/>
      <c r="C22" s="140"/>
      <c r="D22" s="141"/>
      <c r="E22" s="138" t="s">
        <v>85</v>
      </c>
      <c r="F22" s="174"/>
      <c r="G22" s="140" t="s">
        <v>44</v>
      </c>
      <c r="H22" s="175"/>
      <c r="I22" s="144"/>
      <c r="J22" s="34"/>
      <c r="K22" s="37"/>
      <c r="L22" s="173"/>
      <c r="M22" s="165"/>
      <c r="N22" s="42"/>
      <c r="O22" s="42"/>
      <c r="P22" s="42"/>
      <c r="Q22" s="42"/>
      <c r="R22" s="42"/>
      <c r="S22" s="42"/>
      <c r="T22" s="42"/>
      <c r="U22" s="42"/>
      <c r="V22" s="42"/>
      <c r="W22" s="42"/>
      <c r="X22" s="42"/>
      <c r="Y22" s="42"/>
      <c r="Z22" s="42"/>
    </row>
    <row r="23" ht="15.0" customHeight="1">
      <c r="A23" s="147" t="s">
        <v>86</v>
      </c>
      <c r="B23" s="148"/>
      <c r="C23" s="140" t="s">
        <v>44</v>
      </c>
      <c r="D23" s="141"/>
      <c r="E23" s="138" t="s">
        <v>87</v>
      </c>
      <c r="F23" s="139"/>
      <c r="G23" s="140" t="s">
        <v>44</v>
      </c>
      <c r="H23" s="179"/>
      <c r="I23" s="144"/>
      <c r="J23" s="34"/>
      <c r="K23" s="37"/>
      <c r="L23" s="173"/>
      <c r="M23" s="165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42"/>
      <c r="Y23" s="42"/>
      <c r="Z23" s="42"/>
    </row>
    <row r="24" ht="15.0" customHeight="1">
      <c r="A24" s="182"/>
      <c r="B24" s="183"/>
      <c r="C24" s="159"/>
      <c r="D24" s="184"/>
      <c r="E24" s="147" t="s">
        <v>88</v>
      </c>
      <c r="F24" s="148"/>
      <c r="G24" s="159" t="s">
        <v>44</v>
      </c>
      <c r="H24" s="185"/>
      <c r="I24" s="144"/>
      <c r="J24" s="34"/>
      <c r="K24" s="37"/>
      <c r="L24" s="186"/>
      <c r="M24" s="187"/>
      <c r="N24" s="42"/>
      <c r="O24" s="42"/>
      <c r="P24" s="42"/>
      <c r="Q24" s="42"/>
      <c r="R24" s="42"/>
      <c r="S24" s="42"/>
      <c r="T24" s="42"/>
      <c r="U24" s="42"/>
      <c r="V24" s="42"/>
      <c r="W24" s="42"/>
      <c r="X24" s="42"/>
      <c r="Y24" s="42"/>
      <c r="Z24" s="42"/>
    </row>
    <row r="25" ht="16.5" customHeight="1">
      <c r="A25" s="182"/>
      <c r="B25" s="188"/>
      <c r="C25" s="159"/>
      <c r="D25" s="184"/>
      <c r="E25" s="182"/>
      <c r="F25" s="183"/>
      <c r="G25" s="189"/>
      <c r="H25" s="185"/>
      <c r="I25" s="190"/>
      <c r="J25" s="191"/>
      <c r="K25" s="192"/>
      <c r="L25" s="186"/>
      <c r="M25" s="187"/>
      <c r="N25" s="42"/>
      <c r="O25" s="42"/>
      <c r="P25" s="42"/>
      <c r="Q25" s="42"/>
      <c r="R25" s="42"/>
      <c r="S25" s="42"/>
      <c r="T25" s="42"/>
      <c r="U25" s="42"/>
      <c r="V25" s="42"/>
      <c r="W25" s="42"/>
      <c r="X25" s="42"/>
      <c r="Y25" s="42"/>
      <c r="Z25" s="42"/>
    </row>
    <row r="26" ht="27.0" customHeight="1">
      <c r="A26" s="193" t="s">
        <v>89</v>
      </c>
      <c r="B26" s="194"/>
      <c r="C26" s="194"/>
      <c r="D26" s="194"/>
      <c r="E26" s="194"/>
      <c r="F26" s="195"/>
      <c r="G26" s="196" t="s">
        <v>90</v>
      </c>
      <c r="H26" s="197" t="s">
        <v>91</v>
      </c>
      <c r="I26" s="197" t="s">
        <v>92</v>
      </c>
      <c r="J26" s="198" t="s">
        <v>93</v>
      </c>
      <c r="K26" s="194"/>
      <c r="L26" s="194"/>
      <c r="M26" s="199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42"/>
      <c r="Y26" s="42"/>
      <c r="Z26" s="42"/>
    </row>
    <row r="27" ht="18.0" customHeight="1">
      <c r="A27" s="200" t="s">
        <v>94</v>
      </c>
      <c r="B27" s="34"/>
      <c r="C27" s="34"/>
      <c r="D27" s="34"/>
      <c r="E27" s="34"/>
      <c r="F27" s="37"/>
      <c r="G27" s="201"/>
      <c r="H27" s="202"/>
      <c r="I27" s="203"/>
      <c r="J27" s="204"/>
      <c r="K27" s="34"/>
      <c r="L27" s="34"/>
      <c r="M27" s="108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42"/>
    </row>
    <row r="28" ht="18.0" customHeight="1">
      <c r="A28" s="205" t="s">
        <v>95</v>
      </c>
      <c r="B28" s="34"/>
      <c r="C28" s="34"/>
      <c r="D28" s="34"/>
      <c r="E28" s="34"/>
      <c r="F28" s="37"/>
      <c r="G28" s="206"/>
      <c r="H28" s="207"/>
      <c r="I28" s="203"/>
      <c r="J28" s="204"/>
      <c r="K28" s="34"/>
      <c r="L28" s="34"/>
      <c r="M28" s="108"/>
      <c r="N28" s="42"/>
      <c r="O28" s="42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</row>
    <row r="29" ht="18.0" customHeight="1">
      <c r="A29" s="205" t="s">
        <v>96</v>
      </c>
      <c r="B29" s="34"/>
      <c r="C29" s="34"/>
      <c r="D29" s="34"/>
      <c r="E29" s="34"/>
      <c r="F29" s="37"/>
      <c r="G29" s="208"/>
      <c r="H29" s="209"/>
      <c r="I29" s="203"/>
      <c r="J29" s="42"/>
      <c r="K29" s="42"/>
      <c r="L29" s="42"/>
      <c r="M29" s="210"/>
      <c r="N29" s="42"/>
      <c r="O29" s="42"/>
      <c r="P29" s="42"/>
      <c r="Q29" s="42"/>
      <c r="R29" s="42"/>
      <c r="S29" s="42"/>
      <c r="T29" s="42"/>
      <c r="U29" s="42"/>
      <c r="V29" s="42"/>
      <c r="W29" s="42"/>
      <c r="X29" s="42"/>
      <c r="Y29" s="42"/>
      <c r="Z29" s="42"/>
    </row>
    <row r="30" ht="18.0" customHeight="1">
      <c r="A30" s="205" t="s">
        <v>97</v>
      </c>
      <c r="B30" s="34"/>
      <c r="C30" s="34"/>
      <c r="D30" s="34"/>
      <c r="E30" s="34"/>
      <c r="F30" s="37"/>
      <c r="G30" s="208"/>
      <c r="H30" s="211"/>
      <c r="I30" s="212"/>
      <c r="J30" s="204"/>
      <c r="K30" s="34"/>
      <c r="L30" s="34"/>
      <c r="M30" s="108"/>
      <c r="N30" s="42"/>
      <c r="O30" s="42"/>
      <c r="P30" s="42"/>
      <c r="Q30" s="42"/>
      <c r="R30" s="42"/>
      <c r="S30" s="42"/>
      <c r="T30" s="42"/>
      <c r="U30" s="42"/>
      <c r="V30" s="42"/>
      <c r="W30" s="42"/>
      <c r="X30" s="42"/>
      <c r="Y30" s="42"/>
      <c r="Z30" s="42"/>
    </row>
    <row r="31" ht="18.0" customHeight="1">
      <c r="A31" s="205" t="s">
        <v>98</v>
      </c>
      <c r="B31" s="34"/>
      <c r="C31" s="34"/>
      <c r="D31" s="34"/>
      <c r="E31" s="34"/>
      <c r="F31" s="37"/>
      <c r="G31" s="208"/>
      <c r="H31" s="211"/>
      <c r="I31" s="203"/>
      <c r="J31" s="204"/>
      <c r="K31" s="34"/>
      <c r="L31" s="34"/>
      <c r="M31" s="108"/>
      <c r="N31" s="216"/>
      <c r="O31" s="42"/>
      <c r="P31" s="42"/>
      <c r="Q31" s="42"/>
      <c r="R31" s="42"/>
      <c r="S31" s="42"/>
      <c r="T31" s="42"/>
      <c r="U31" s="42"/>
      <c r="V31" s="42"/>
      <c r="W31" s="42"/>
      <c r="X31" s="42"/>
      <c r="Y31" s="42"/>
      <c r="Z31" s="42"/>
    </row>
    <row r="32" ht="18.0" customHeight="1">
      <c r="A32" s="205" t="s">
        <v>99</v>
      </c>
      <c r="B32" s="34"/>
      <c r="C32" s="34"/>
      <c r="D32" s="34"/>
      <c r="E32" s="34"/>
      <c r="F32" s="37"/>
      <c r="G32" s="208"/>
      <c r="H32" s="211"/>
      <c r="I32" s="203"/>
      <c r="J32" s="204"/>
      <c r="K32" s="34"/>
      <c r="L32" s="34"/>
      <c r="M32" s="108"/>
      <c r="N32" s="42"/>
      <c r="O32" s="42"/>
      <c r="P32" s="42"/>
      <c r="Q32" s="42"/>
      <c r="R32" s="42"/>
      <c r="S32" s="42"/>
      <c r="T32" s="42"/>
      <c r="U32" s="42"/>
      <c r="V32" s="42"/>
      <c r="W32" s="42"/>
      <c r="X32" s="42"/>
      <c r="Y32" s="42"/>
      <c r="Z32" s="42"/>
    </row>
    <row r="33" ht="18.0" customHeight="1">
      <c r="A33" s="205" t="s">
        <v>100</v>
      </c>
      <c r="B33" s="34"/>
      <c r="C33" s="34"/>
      <c r="D33" s="34"/>
      <c r="E33" s="34"/>
      <c r="F33" s="37"/>
      <c r="G33" s="208"/>
      <c r="H33" s="211">
        <v>2.0</v>
      </c>
      <c r="I33" s="203"/>
      <c r="J33" s="204"/>
      <c r="K33" s="34"/>
      <c r="L33" s="34"/>
      <c r="M33" s="108"/>
      <c r="N33" s="42"/>
      <c r="O33" s="42"/>
      <c r="P33" s="42"/>
      <c r="Q33" s="42"/>
      <c r="R33" s="42"/>
      <c r="S33" s="42"/>
      <c r="T33" s="42"/>
      <c r="U33" s="42"/>
      <c r="V33" s="42"/>
      <c r="W33" s="42"/>
      <c r="X33" s="42"/>
      <c r="Y33" s="42"/>
      <c r="Z33" s="42"/>
    </row>
    <row r="34" ht="18.0" customHeight="1">
      <c r="A34" s="217" t="s">
        <v>101</v>
      </c>
      <c r="B34" s="34"/>
      <c r="C34" s="34"/>
      <c r="D34" s="34"/>
      <c r="E34" s="34"/>
      <c r="F34" s="37"/>
      <c r="G34" s="208"/>
      <c r="H34" s="202"/>
      <c r="I34" s="203">
        <v>2.0</v>
      </c>
      <c r="J34" s="204"/>
      <c r="K34" s="34"/>
      <c r="L34" s="34"/>
      <c r="M34" s="108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</row>
    <row r="35" ht="18.0" customHeight="1">
      <c r="A35" s="205" t="s">
        <v>102</v>
      </c>
      <c r="B35" s="34"/>
      <c r="C35" s="34"/>
      <c r="D35" s="34"/>
      <c r="E35" s="34"/>
      <c r="F35" s="37"/>
      <c r="G35" s="208"/>
      <c r="H35" s="211"/>
      <c r="I35" s="203"/>
      <c r="J35" s="204"/>
      <c r="K35" s="34"/>
      <c r="L35" s="34"/>
      <c r="M35" s="108"/>
      <c r="N35" s="42"/>
      <c r="O35" s="42"/>
      <c r="P35" s="42"/>
      <c r="Q35" s="42"/>
      <c r="R35" s="42"/>
      <c r="S35" s="42"/>
      <c r="T35" s="42"/>
      <c r="U35" s="42"/>
      <c r="V35" s="42"/>
      <c r="W35" s="42"/>
      <c r="X35" s="42"/>
      <c r="Y35" s="42"/>
      <c r="Z35" s="42"/>
    </row>
    <row r="36" ht="21.0" customHeight="1">
      <c r="A36" s="205" t="s">
        <v>103</v>
      </c>
      <c r="B36" s="34"/>
      <c r="C36" s="34"/>
      <c r="D36" s="34"/>
      <c r="E36" s="34"/>
      <c r="F36" s="37"/>
      <c r="G36" s="208"/>
      <c r="H36" s="207"/>
      <c r="I36" s="203"/>
      <c r="J36" s="204"/>
      <c r="K36" s="34"/>
      <c r="L36" s="34"/>
      <c r="M36" s="108"/>
      <c r="N36" s="42"/>
      <c r="O36" s="42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</row>
    <row r="37" ht="19.5" customHeight="1">
      <c r="A37" s="205" t="s">
        <v>104</v>
      </c>
      <c r="B37" s="34"/>
      <c r="C37" s="34"/>
      <c r="D37" s="34"/>
      <c r="E37" s="34"/>
      <c r="F37" s="37"/>
      <c r="G37" s="208"/>
      <c r="H37" s="211"/>
      <c r="I37" s="203"/>
      <c r="J37" s="204"/>
      <c r="K37" s="34"/>
      <c r="L37" s="34"/>
      <c r="M37" s="108"/>
      <c r="N37" s="42"/>
      <c r="O37" s="42"/>
      <c r="P37" s="42"/>
      <c r="Q37" s="42"/>
      <c r="R37" s="42"/>
      <c r="S37" s="42"/>
      <c r="T37" s="42"/>
      <c r="U37" s="42"/>
      <c r="V37" s="42"/>
      <c r="W37" s="42"/>
      <c r="X37" s="42"/>
      <c r="Y37" s="42"/>
      <c r="Z37" s="42"/>
    </row>
    <row r="38" ht="18.0" customHeight="1">
      <c r="A38" s="205" t="s">
        <v>105</v>
      </c>
      <c r="B38" s="34"/>
      <c r="C38" s="34"/>
      <c r="D38" s="34"/>
      <c r="E38" s="34"/>
      <c r="F38" s="37"/>
      <c r="G38" s="208"/>
      <c r="H38" s="207"/>
      <c r="I38" s="203"/>
      <c r="J38" s="204"/>
      <c r="K38" s="34"/>
      <c r="L38" s="34"/>
      <c r="M38" s="108"/>
      <c r="N38" s="42"/>
      <c r="O38" s="42"/>
      <c r="P38" s="42"/>
      <c r="Q38" s="42"/>
      <c r="R38" s="42"/>
      <c r="S38" s="42"/>
      <c r="T38" s="42"/>
      <c r="U38" s="42"/>
      <c r="V38" s="42"/>
      <c r="W38" s="42"/>
      <c r="X38" s="42"/>
      <c r="Y38" s="42"/>
      <c r="Z38" s="42"/>
    </row>
    <row r="39" ht="18.0" customHeight="1">
      <c r="A39" s="205" t="s">
        <v>106</v>
      </c>
      <c r="B39" s="34"/>
      <c r="C39" s="34"/>
      <c r="D39" s="34"/>
      <c r="E39" s="34"/>
      <c r="F39" s="37"/>
      <c r="G39" s="208"/>
      <c r="H39" s="207"/>
      <c r="I39" s="203"/>
      <c r="J39" s="204"/>
      <c r="K39" s="34"/>
      <c r="L39" s="34"/>
      <c r="M39" s="108"/>
      <c r="N39" s="42"/>
      <c r="O39" s="42"/>
      <c r="P39" s="42"/>
      <c r="Q39" s="42"/>
      <c r="R39" s="42"/>
      <c r="S39" s="42"/>
      <c r="T39" s="42"/>
      <c r="U39" s="42"/>
      <c r="V39" s="42"/>
      <c r="W39" s="42"/>
      <c r="X39" s="42"/>
      <c r="Y39" s="42"/>
      <c r="Z39" s="42"/>
    </row>
    <row r="40" ht="18.0" customHeight="1">
      <c r="A40" s="205" t="s">
        <v>107</v>
      </c>
      <c r="B40" s="34"/>
      <c r="C40" s="34"/>
      <c r="D40" s="34"/>
      <c r="E40" s="34"/>
      <c r="F40" s="37"/>
      <c r="G40" s="208"/>
      <c r="H40" s="207"/>
      <c r="I40" s="203"/>
      <c r="J40" s="204"/>
      <c r="K40" s="34"/>
      <c r="L40" s="34"/>
      <c r="M40" s="108"/>
      <c r="N40" s="42"/>
      <c r="O40" s="42"/>
      <c r="P40" s="42"/>
      <c r="Q40" s="42"/>
      <c r="R40" s="42"/>
      <c r="S40" s="42"/>
      <c r="T40" s="42"/>
      <c r="U40" s="42"/>
      <c r="V40" s="42"/>
      <c r="W40" s="42"/>
      <c r="X40" s="42"/>
      <c r="Y40" s="42"/>
      <c r="Z40" s="42"/>
    </row>
    <row r="41" ht="18.0" customHeight="1">
      <c r="A41" s="205" t="s">
        <v>108</v>
      </c>
      <c r="B41" s="34"/>
      <c r="C41" s="34"/>
      <c r="D41" s="34"/>
      <c r="E41" s="34"/>
      <c r="F41" s="37"/>
      <c r="G41" s="208"/>
      <c r="H41" s="207"/>
      <c r="I41" s="203"/>
      <c r="J41" s="204"/>
      <c r="K41" s="34"/>
      <c r="L41" s="34"/>
      <c r="M41" s="108"/>
      <c r="N41" s="42"/>
      <c r="O41" s="42"/>
      <c r="P41" s="42"/>
      <c r="Q41" s="42"/>
      <c r="R41" s="42"/>
      <c r="S41" s="42"/>
      <c r="T41" s="42"/>
      <c r="U41" s="42"/>
      <c r="V41" s="42"/>
      <c r="W41" s="42"/>
      <c r="X41" s="42"/>
      <c r="Y41" s="42"/>
      <c r="Z41" s="42"/>
    </row>
    <row r="42" ht="18.0" customHeight="1">
      <c r="A42" s="205" t="s">
        <v>109</v>
      </c>
      <c r="B42" s="34"/>
      <c r="C42" s="34"/>
      <c r="D42" s="34"/>
      <c r="E42" s="34"/>
      <c r="F42" s="37"/>
      <c r="G42" s="208"/>
      <c r="H42" s="207"/>
      <c r="I42" s="203"/>
      <c r="J42" s="204"/>
      <c r="K42" s="34"/>
      <c r="L42" s="34"/>
      <c r="M42" s="108"/>
      <c r="N42" s="42"/>
      <c r="O42" s="42"/>
      <c r="P42" s="42"/>
      <c r="Q42" s="42"/>
      <c r="R42" s="42"/>
      <c r="S42" s="42"/>
      <c r="T42" s="42"/>
      <c r="U42" s="42"/>
      <c r="V42" s="42"/>
      <c r="W42" s="42"/>
      <c r="X42" s="42"/>
      <c r="Y42" s="42"/>
      <c r="Z42" s="42"/>
    </row>
    <row r="43" ht="18.0" customHeight="1">
      <c r="A43" s="205" t="s">
        <v>110</v>
      </c>
      <c r="B43" s="34"/>
      <c r="C43" s="34"/>
      <c r="D43" s="34"/>
      <c r="E43" s="34"/>
      <c r="F43" s="37"/>
      <c r="G43" s="208"/>
      <c r="H43" s="207"/>
      <c r="I43" s="203"/>
      <c r="J43" s="204"/>
      <c r="K43" s="34"/>
      <c r="L43" s="34"/>
      <c r="M43" s="108"/>
      <c r="N43" s="42"/>
      <c r="O43" s="42"/>
      <c r="P43" s="42"/>
      <c r="Q43" s="42"/>
      <c r="R43" s="42"/>
      <c r="S43" s="42"/>
      <c r="T43" s="42"/>
      <c r="U43" s="42"/>
      <c r="V43" s="42"/>
      <c r="W43" s="42"/>
      <c r="X43" s="42"/>
      <c r="Y43" s="42"/>
      <c r="Z43" s="42"/>
    </row>
    <row r="44" ht="18.0" customHeight="1">
      <c r="A44" s="205" t="s">
        <v>111</v>
      </c>
      <c r="B44" s="34"/>
      <c r="C44" s="34"/>
      <c r="D44" s="34"/>
      <c r="E44" s="34"/>
      <c r="F44" s="37"/>
      <c r="G44" s="208"/>
      <c r="H44" s="211"/>
      <c r="I44" s="203"/>
      <c r="J44" s="204"/>
      <c r="K44" s="34"/>
      <c r="L44" s="34"/>
      <c r="M44" s="108"/>
      <c r="N44" s="42"/>
      <c r="O44" s="42"/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</row>
    <row r="45" ht="18.0" customHeight="1">
      <c r="A45" s="205" t="s">
        <v>112</v>
      </c>
      <c r="B45" s="34"/>
      <c r="C45" s="34"/>
      <c r="D45" s="34"/>
      <c r="E45" s="34"/>
      <c r="F45" s="37"/>
      <c r="G45" s="208"/>
      <c r="H45" s="211"/>
      <c r="I45" s="203"/>
      <c r="J45" s="204"/>
      <c r="K45" s="34"/>
      <c r="L45" s="34"/>
      <c r="M45" s="108"/>
      <c r="N45" s="42"/>
      <c r="O45" s="42"/>
      <c r="P45" s="42"/>
      <c r="Q45" s="42"/>
      <c r="R45" s="42"/>
      <c r="S45" s="42"/>
      <c r="T45" s="42"/>
      <c r="U45" s="42"/>
      <c r="V45" s="42"/>
      <c r="W45" s="42"/>
      <c r="X45" s="42"/>
      <c r="Y45" s="42"/>
      <c r="Z45" s="42"/>
    </row>
    <row r="46" ht="27.0" customHeight="1">
      <c r="A46" s="218" t="s">
        <v>113</v>
      </c>
      <c r="B46" s="34"/>
      <c r="C46" s="34"/>
      <c r="D46" s="34"/>
      <c r="E46" s="34"/>
      <c r="F46" s="37"/>
      <c r="G46" s="208"/>
      <c r="H46" s="207"/>
      <c r="I46" s="203"/>
      <c r="J46" s="204"/>
      <c r="K46" s="34"/>
      <c r="L46" s="34"/>
      <c r="M46" s="108"/>
      <c r="N46" s="42"/>
      <c r="O46" s="42"/>
      <c r="P46" s="42"/>
      <c r="Q46" s="42"/>
      <c r="R46" s="42"/>
      <c r="S46" s="42"/>
      <c r="T46" s="42"/>
      <c r="U46" s="42"/>
      <c r="V46" s="42"/>
      <c r="W46" s="42"/>
      <c r="X46" s="42"/>
      <c r="Y46" s="42"/>
      <c r="Z46" s="42"/>
    </row>
    <row r="47" ht="18.0" customHeight="1">
      <c r="A47" s="205" t="s">
        <v>114</v>
      </c>
      <c r="B47" s="34"/>
      <c r="C47" s="34"/>
      <c r="D47" s="34"/>
      <c r="E47" s="34"/>
      <c r="F47" s="37"/>
      <c r="G47" s="208"/>
      <c r="H47" s="207"/>
      <c r="I47" s="203"/>
      <c r="J47" s="204"/>
      <c r="K47" s="34"/>
      <c r="L47" s="34"/>
      <c r="M47" s="108"/>
      <c r="N47" s="42"/>
      <c r="O47" s="42"/>
      <c r="P47" s="42"/>
      <c r="Q47" s="42"/>
      <c r="R47" s="42"/>
      <c r="S47" s="42"/>
      <c r="T47" s="42"/>
      <c r="U47" s="42"/>
      <c r="V47" s="42"/>
      <c r="W47" s="42"/>
      <c r="X47" s="42"/>
      <c r="Y47" s="42"/>
      <c r="Z47" s="42"/>
    </row>
    <row r="48" ht="27.0" customHeight="1">
      <c r="A48" s="219" t="s">
        <v>115</v>
      </c>
      <c r="B48" s="34"/>
      <c r="C48" s="34"/>
      <c r="D48" s="34"/>
      <c r="E48" s="34"/>
      <c r="F48" s="37"/>
      <c r="G48" s="208"/>
      <c r="H48" s="207"/>
      <c r="I48" s="203"/>
      <c r="J48" s="204"/>
      <c r="K48" s="34"/>
      <c r="L48" s="34"/>
      <c r="M48" s="108"/>
      <c r="N48" s="42"/>
      <c r="O48" s="42"/>
      <c r="P48" s="42"/>
      <c r="Q48" s="42"/>
      <c r="R48" s="42"/>
      <c r="S48" s="42"/>
      <c r="T48" s="42"/>
      <c r="U48" s="42"/>
      <c r="V48" s="42"/>
      <c r="W48" s="42"/>
      <c r="X48" s="42"/>
      <c r="Y48" s="42"/>
      <c r="Z48" s="42"/>
    </row>
    <row r="49" ht="27.0" customHeight="1">
      <c r="A49" s="218" t="s">
        <v>116</v>
      </c>
      <c r="B49" s="34"/>
      <c r="C49" s="34"/>
      <c r="D49" s="34"/>
      <c r="E49" s="34"/>
      <c r="F49" s="37"/>
      <c r="G49" s="208"/>
      <c r="H49" s="220"/>
      <c r="I49" s="203"/>
      <c r="J49" s="204"/>
      <c r="K49" s="34"/>
      <c r="L49" s="34"/>
      <c r="M49" s="108"/>
      <c r="N49" s="42"/>
      <c r="O49" s="42"/>
      <c r="P49" s="42"/>
      <c r="Q49" s="42"/>
      <c r="R49" s="42"/>
      <c r="S49" s="42"/>
      <c r="T49" s="42"/>
      <c r="U49" s="42"/>
      <c r="V49" s="42"/>
      <c r="W49" s="42"/>
      <c r="X49" s="42"/>
      <c r="Y49" s="42"/>
      <c r="Z49" s="42"/>
    </row>
    <row r="50" ht="18.0" customHeight="1">
      <c r="A50" s="205" t="s">
        <v>117</v>
      </c>
      <c r="B50" s="34"/>
      <c r="C50" s="34"/>
      <c r="D50" s="34"/>
      <c r="E50" s="34"/>
      <c r="F50" s="37"/>
      <c r="G50" s="208"/>
      <c r="H50" s="211"/>
      <c r="I50" s="203"/>
      <c r="J50" s="221"/>
      <c r="K50" s="34"/>
      <c r="L50" s="34"/>
      <c r="M50" s="108"/>
      <c r="N50" s="42"/>
      <c r="O50" s="42"/>
      <c r="P50" s="42"/>
      <c r="Q50" s="42"/>
      <c r="R50" s="42"/>
      <c r="S50" s="42"/>
      <c r="T50" s="42"/>
      <c r="U50" s="42"/>
      <c r="V50" s="42"/>
      <c r="W50" s="42"/>
      <c r="X50" s="42"/>
      <c r="Y50" s="42"/>
      <c r="Z50" s="42"/>
    </row>
    <row r="51" ht="18.0" customHeight="1">
      <c r="A51" s="200" t="s">
        <v>118</v>
      </c>
      <c r="B51" s="34"/>
      <c r="C51" s="34"/>
      <c r="D51" s="34"/>
      <c r="E51" s="34"/>
      <c r="F51" s="37"/>
      <c r="G51" s="208"/>
      <c r="H51" s="202"/>
      <c r="I51" s="203"/>
      <c r="J51" s="204"/>
      <c r="K51" s="34"/>
      <c r="L51" s="34"/>
      <c r="M51" s="108"/>
      <c r="N51" s="42"/>
      <c r="O51" s="42"/>
      <c r="P51" s="42"/>
      <c r="Q51" s="42"/>
      <c r="R51" s="42"/>
      <c r="S51" s="42"/>
      <c r="T51" s="42"/>
      <c r="U51" s="42"/>
      <c r="V51" s="42"/>
      <c r="W51" s="42"/>
      <c r="X51" s="42"/>
      <c r="Y51" s="42"/>
      <c r="Z51" s="42"/>
    </row>
    <row r="52" ht="32.25" customHeight="1">
      <c r="A52" s="222" t="s">
        <v>119</v>
      </c>
      <c r="B52" s="34"/>
      <c r="C52" s="34"/>
      <c r="D52" s="34"/>
      <c r="E52" s="34"/>
      <c r="F52" s="37"/>
      <c r="G52" s="208"/>
      <c r="H52" s="207"/>
      <c r="I52" s="203"/>
      <c r="J52" s="204"/>
      <c r="K52" s="34"/>
      <c r="L52" s="34"/>
      <c r="M52" s="108"/>
      <c r="N52" s="42"/>
      <c r="O52" s="42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</row>
    <row r="53" ht="29.25" customHeight="1">
      <c r="A53" s="219" t="s">
        <v>120</v>
      </c>
      <c r="B53" s="34"/>
      <c r="C53" s="34"/>
      <c r="D53" s="34"/>
      <c r="E53" s="34"/>
      <c r="F53" s="37"/>
      <c r="G53" s="208"/>
      <c r="H53" s="207"/>
      <c r="I53" s="203"/>
      <c r="J53" s="204"/>
      <c r="K53" s="34"/>
      <c r="L53" s="34"/>
      <c r="M53" s="108"/>
      <c r="N53" s="42"/>
      <c r="O53" s="42"/>
      <c r="P53" s="42"/>
      <c r="Q53" s="42"/>
      <c r="R53" s="42"/>
      <c r="S53" s="42"/>
      <c r="T53" s="42"/>
      <c r="U53" s="42"/>
      <c r="V53" s="42"/>
      <c r="W53" s="42"/>
      <c r="X53" s="42"/>
      <c r="Y53" s="42"/>
      <c r="Z53" s="42"/>
    </row>
    <row r="54" ht="27.75" customHeight="1">
      <c r="A54" s="219" t="s">
        <v>121</v>
      </c>
      <c r="B54" s="34"/>
      <c r="C54" s="34"/>
      <c r="D54" s="34"/>
      <c r="E54" s="34"/>
      <c r="F54" s="37"/>
      <c r="G54" s="208"/>
      <c r="H54" s="207"/>
      <c r="I54" s="203"/>
      <c r="J54" s="204"/>
      <c r="K54" s="34"/>
      <c r="L54" s="34"/>
      <c r="M54" s="108"/>
      <c r="N54" s="42"/>
      <c r="O54" s="42"/>
      <c r="P54" s="42"/>
      <c r="Q54" s="42"/>
      <c r="R54" s="42"/>
      <c r="S54" s="42"/>
      <c r="T54" s="42"/>
      <c r="U54" s="42"/>
      <c r="V54" s="42"/>
      <c r="W54" s="42"/>
      <c r="X54" s="42"/>
      <c r="Y54" s="42"/>
      <c r="Z54" s="42"/>
    </row>
    <row r="55" ht="20.25" customHeight="1">
      <c r="A55" s="205" t="s">
        <v>122</v>
      </c>
      <c r="B55" s="34"/>
      <c r="C55" s="34"/>
      <c r="D55" s="34"/>
      <c r="E55" s="34"/>
      <c r="F55" s="37"/>
      <c r="G55" s="208"/>
      <c r="H55" s="207"/>
      <c r="I55" s="203"/>
      <c r="J55" s="204"/>
      <c r="K55" s="34"/>
      <c r="L55" s="34"/>
      <c r="M55" s="108"/>
      <c r="N55" s="42"/>
      <c r="O55" s="42"/>
      <c r="P55" s="42"/>
      <c r="Q55" s="42"/>
      <c r="R55" s="42"/>
      <c r="S55" s="42"/>
      <c r="T55" s="42"/>
      <c r="U55" s="42"/>
      <c r="V55" s="42"/>
      <c r="W55" s="42"/>
      <c r="X55" s="42"/>
      <c r="Y55" s="42"/>
      <c r="Z55" s="42"/>
    </row>
    <row r="56" ht="21.75" customHeight="1">
      <c r="A56" s="205" t="s">
        <v>123</v>
      </c>
      <c r="B56" s="34"/>
      <c r="C56" s="34"/>
      <c r="D56" s="34"/>
      <c r="E56" s="34"/>
      <c r="F56" s="37"/>
      <c r="G56" s="208"/>
      <c r="H56" s="211"/>
      <c r="I56" s="203"/>
      <c r="J56" s="204"/>
      <c r="K56" s="34"/>
      <c r="L56" s="34"/>
      <c r="M56" s="108"/>
      <c r="N56" s="42"/>
      <c r="O56" s="42"/>
      <c r="P56" s="42"/>
      <c r="Q56" s="42"/>
      <c r="R56" s="42"/>
      <c r="S56" s="42"/>
      <c r="T56" s="42"/>
      <c r="U56" s="42"/>
      <c r="V56" s="42"/>
      <c r="W56" s="42"/>
      <c r="X56" s="42"/>
      <c r="Y56" s="42"/>
      <c r="Z56" s="42"/>
    </row>
    <row r="57" ht="18.0" customHeight="1">
      <c r="A57" s="200" t="s">
        <v>124</v>
      </c>
      <c r="B57" s="34"/>
      <c r="C57" s="34"/>
      <c r="D57" s="34"/>
      <c r="E57" s="34"/>
      <c r="F57" s="37"/>
      <c r="G57" s="208"/>
      <c r="H57" s="202"/>
      <c r="I57" s="203"/>
      <c r="J57" s="204"/>
      <c r="K57" s="34"/>
      <c r="L57" s="34"/>
      <c r="M57" s="108"/>
      <c r="N57" s="42"/>
      <c r="O57" s="42"/>
      <c r="P57" s="42"/>
      <c r="Q57" s="42"/>
      <c r="R57" s="42"/>
      <c r="S57" s="42"/>
      <c r="T57" s="42"/>
      <c r="U57" s="42"/>
      <c r="V57" s="42"/>
      <c r="W57" s="42"/>
      <c r="X57" s="42"/>
      <c r="Y57" s="42"/>
      <c r="Z57" s="42"/>
    </row>
    <row r="58" ht="31.5" customHeight="1">
      <c r="A58" s="219" t="s">
        <v>125</v>
      </c>
      <c r="B58" s="34"/>
      <c r="C58" s="34"/>
      <c r="D58" s="34"/>
      <c r="E58" s="34"/>
      <c r="F58" s="37"/>
      <c r="G58" s="208"/>
      <c r="H58" s="202"/>
      <c r="I58" s="203"/>
      <c r="J58" s="204"/>
      <c r="K58" s="34"/>
      <c r="L58" s="34"/>
      <c r="M58" s="108"/>
      <c r="N58" s="42"/>
      <c r="O58" s="42"/>
      <c r="P58" s="42"/>
      <c r="Q58" s="42"/>
      <c r="R58" s="42"/>
      <c r="S58" s="42"/>
      <c r="T58" s="42"/>
      <c r="U58" s="42"/>
      <c r="V58" s="42"/>
      <c r="W58" s="42"/>
      <c r="X58" s="42"/>
      <c r="Y58" s="42"/>
      <c r="Z58" s="42"/>
    </row>
    <row r="59" ht="18.0" customHeight="1">
      <c r="A59" s="205" t="s">
        <v>126</v>
      </c>
      <c r="B59" s="34"/>
      <c r="C59" s="34"/>
      <c r="D59" s="34"/>
      <c r="E59" s="34"/>
      <c r="F59" s="37"/>
      <c r="G59" s="208"/>
      <c r="H59" s="202"/>
      <c r="I59" s="203"/>
      <c r="J59" s="204"/>
      <c r="K59" s="34"/>
      <c r="L59" s="34"/>
      <c r="M59" s="108"/>
      <c r="N59" s="42"/>
      <c r="O59" s="42"/>
      <c r="P59" s="42"/>
      <c r="Q59" s="42"/>
      <c r="R59" s="42"/>
      <c r="S59" s="42"/>
      <c r="T59" s="42"/>
      <c r="U59" s="42"/>
      <c r="V59" s="42"/>
      <c r="W59" s="42"/>
      <c r="X59" s="42"/>
      <c r="Y59" s="42"/>
      <c r="Z59" s="42"/>
    </row>
    <row r="60" ht="18.0" customHeight="1">
      <c r="A60" s="205" t="s">
        <v>127</v>
      </c>
      <c r="B60" s="34"/>
      <c r="C60" s="34"/>
      <c r="D60" s="34"/>
      <c r="E60" s="34"/>
      <c r="F60" s="37"/>
      <c r="G60" s="208"/>
      <c r="H60" s="202"/>
      <c r="I60" s="203"/>
      <c r="J60" s="204"/>
      <c r="K60" s="34"/>
      <c r="L60" s="34"/>
      <c r="M60" s="108"/>
      <c r="N60" s="42"/>
      <c r="O60" s="42"/>
      <c r="P60" s="42"/>
      <c r="Q60" s="42"/>
      <c r="R60" s="42"/>
      <c r="S60" s="42"/>
      <c r="T60" s="42"/>
      <c r="U60" s="42"/>
      <c r="V60" s="42"/>
      <c r="W60" s="42"/>
      <c r="X60" s="42"/>
      <c r="Y60" s="42"/>
      <c r="Z60" s="42"/>
    </row>
    <row r="61" ht="18.0" customHeight="1">
      <c r="A61" s="200" t="s">
        <v>128</v>
      </c>
      <c r="B61" s="34"/>
      <c r="C61" s="34"/>
      <c r="D61" s="34"/>
      <c r="E61" s="34"/>
      <c r="F61" s="37"/>
      <c r="G61" s="208"/>
      <c r="H61" s="202"/>
      <c r="I61" s="203"/>
      <c r="J61" s="204"/>
      <c r="K61" s="34"/>
      <c r="L61" s="34"/>
      <c r="M61" s="108"/>
      <c r="N61" s="42"/>
      <c r="O61" s="42"/>
      <c r="P61" s="42"/>
      <c r="Q61" s="42"/>
      <c r="R61" s="42"/>
      <c r="S61" s="42"/>
      <c r="T61" s="42"/>
      <c r="U61" s="42"/>
      <c r="V61" s="42"/>
      <c r="W61" s="42"/>
      <c r="X61" s="42"/>
      <c r="Y61" s="42"/>
      <c r="Z61" s="42"/>
    </row>
    <row r="62" ht="18.0" customHeight="1">
      <c r="A62" s="205" t="s">
        <v>129</v>
      </c>
      <c r="B62" s="34"/>
      <c r="C62" s="34"/>
      <c r="D62" s="34"/>
      <c r="E62" s="34"/>
      <c r="F62" s="37"/>
      <c r="G62" s="208"/>
      <c r="H62" s="202"/>
      <c r="I62" s="203"/>
      <c r="J62" s="204"/>
      <c r="K62" s="34"/>
      <c r="L62" s="34"/>
      <c r="M62" s="108"/>
      <c r="N62" s="42"/>
      <c r="O62" s="42"/>
      <c r="P62" s="42"/>
      <c r="Q62" s="42"/>
      <c r="R62" s="42"/>
      <c r="S62" s="42"/>
      <c r="T62" s="42"/>
      <c r="U62" s="42"/>
      <c r="V62" s="42"/>
      <c r="W62" s="42"/>
      <c r="X62" s="42"/>
      <c r="Y62" s="42"/>
      <c r="Z62" s="42"/>
    </row>
    <row r="63" ht="18.0" customHeight="1">
      <c r="A63" s="205" t="s">
        <v>130</v>
      </c>
      <c r="B63" s="34"/>
      <c r="C63" s="34"/>
      <c r="D63" s="34"/>
      <c r="E63" s="34"/>
      <c r="F63" s="37"/>
      <c r="G63" s="208"/>
      <c r="H63" s="202"/>
      <c r="I63" s="203"/>
      <c r="J63" s="204"/>
      <c r="K63" s="34"/>
      <c r="L63" s="34"/>
      <c r="M63" s="108"/>
      <c r="N63" s="42"/>
      <c r="O63" s="42"/>
      <c r="P63" s="42"/>
      <c r="Q63" s="42"/>
      <c r="R63" s="42"/>
      <c r="S63" s="42"/>
      <c r="T63" s="42"/>
      <c r="U63" s="42"/>
      <c r="V63" s="42"/>
      <c r="W63" s="42"/>
      <c r="X63" s="42"/>
      <c r="Y63" s="42"/>
      <c r="Z63" s="42"/>
    </row>
    <row r="64" ht="18.0" customHeight="1">
      <c r="A64" s="205" t="s">
        <v>131</v>
      </c>
      <c r="B64" s="34"/>
      <c r="C64" s="34"/>
      <c r="D64" s="34"/>
      <c r="E64" s="34"/>
      <c r="F64" s="37"/>
      <c r="G64" s="208"/>
      <c r="H64" s="202"/>
      <c r="I64" s="203"/>
      <c r="J64" s="204"/>
      <c r="K64" s="34"/>
      <c r="L64" s="34"/>
      <c r="M64" s="108"/>
      <c r="N64" s="42"/>
      <c r="O64" s="42"/>
      <c r="P64" s="42"/>
      <c r="Q64" s="42"/>
      <c r="R64" s="42"/>
      <c r="S64" s="42"/>
      <c r="T64" s="42"/>
      <c r="U64" s="42"/>
      <c r="V64" s="42"/>
      <c r="W64" s="42"/>
      <c r="X64" s="42"/>
      <c r="Y64" s="42"/>
      <c r="Z64" s="42"/>
    </row>
    <row r="65" ht="18.0" customHeight="1">
      <c r="A65" s="205" t="s">
        <v>132</v>
      </c>
      <c r="B65" s="34"/>
      <c r="C65" s="34"/>
      <c r="D65" s="34"/>
      <c r="E65" s="34"/>
      <c r="F65" s="37"/>
      <c r="G65" s="208"/>
      <c r="H65" s="202"/>
      <c r="I65" s="203"/>
      <c r="J65" s="204"/>
      <c r="K65" s="34"/>
      <c r="L65" s="34"/>
      <c r="M65" s="108"/>
      <c r="N65" s="42"/>
      <c r="O65" s="42"/>
      <c r="P65" s="42"/>
      <c r="Q65" s="42"/>
      <c r="R65" s="42"/>
      <c r="S65" s="42"/>
      <c r="T65" s="42"/>
      <c r="U65" s="42"/>
      <c r="V65" s="42"/>
      <c r="W65" s="42"/>
      <c r="X65" s="42"/>
      <c r="Y65" s="42"/>
      <c r="Z65" s="42"/>
    </row>
    <row r="66" ht="18.0" customHeight="1">
      <c r="A66" s="205" t="s">
        <v>133</v>
      </c>
      <c r="B66" s="34"/>
      <c r="C66" s="34"/>
      <c r="D66" s="34"/>
      <c r="E66" s="34"/>
      <c r="F66" s="37"/>
      <c r="G66" s="208"/>
      <c r="H66" s="202"/>
      <c r="I66" s="203"/>
      <c r="J66" s="204"/>
      <c r="K66" s="34"/>
      <c r="L66" s="34"/>
      <c r="M66" s="108"/>
      <c r="N66" s="42"/>
      <c r="O66" s="42"/>
      <c r="P66" s="42"/>
      <c r="Q66" s="42"/>
      <c r="R66" s="42"/>
      <c r="S66" s="42"/>
      <c r="T66" s="42"/>
      <c r="U66" s="42"/>
      <c r="V66" s="42"/>
      <c r="W66" s="42"/>
      <c r="X66" s="42"/>
      <c r="Y66" s="42"/>
      <c r="Z66" s="42"/>
    </row>
    <row r="67" ht="18.0" customHeight="1">
      <c r="A67" s="205" t="s">
        <v>134</v>
      </c>
      <c r="B67" s="34"/>
      <c r="C67" s="34"/>
      <c r="D67" s="34"/>
      <c r="E67" s="34"/>
      <c r="F67" s="37"/>
      <c r="G67" s="208"/>
      <c r="H67" s="202"/>
      <c r="I67" s="203"/>
      <c r="J67" s="204"/>
      <c r="K67" s="34"/>
      <c r="L67" s="34"/>
      <c r="M67" s="108"/>
      <c r="N67" s="42"/>
      <c r="O67" s="42"/>
      <c r="P67" s="42"/>
      <c r="Q67" s="42"/>
      <c r="R67" s="42"/>
      <c r="S67" s="42"/>
      <c r="T67" s="42"/>
      <c r="U67" s="42"/>
      <c r="V67" s="42"/>
      <c r="W67" s="42"/>
      <c r="X67" s="42"/>
      <c r="Y67" s="42"/>
      <c r="Z67" s="42"/>
    </row>
    <row r="68" ht="18.0" customHeight="1">
      <c r="A68" s="205" t="s">
        <v>135</v>
      </c>
      <c r="B68" s="34"/>
      <c r="C68" s="34"/>
      <c r="D68" s="34"/>
      <c r="E68" s="34"/>
      <c r="F68" s="37"/>
      <c r="G68" s="208"/>
      <c r="H68" s="202"/>
      <c r="I68" s="203"/>
      <c r="J68" s="204"/>
      <c r="K68" s="34"/>
      <c r="L68" s="34"/>
      <c r="M68" s="108"/>
      <c r="N68" s="42"/>
      <c r="O68" s="42"/>
      <c r="P68" s="42"/>
      <c r="Q68" s="42"/>
      <c r="R68" s="42"/>
      <c r="S68" s="42"/>
      <c r="T68" s="42"/>
      <c r="U68" s="42"/>
      <c r="V68" s="42"/>
      <c r="W68" s="42"/>
      <c r="X68" s="42"/>
      <c r="Y68" s="42"/>
      <c r="Z68" s="42"/>
    </row>
    <row r="69" ht="18.0" customHeight="1">
      <c r="A69" s="205" t="s">
        <v>136</v>
      </c>
      <c r="B69" s="34"/>
      <c r="C69" s="34"/>
      <c r="D69" s="34"/>
      <c r="E69" s="34"/>
      <c r="F69" s="37"/>
      <c r="G69" s="208"/>
      <c r="H69" s="202"/>
      <c r="I69" s="203"/>
      <c r="J69" s="204"/>
      <c r="K69" s="34"/>
      <c r="L69" s="34"/>
      <c r="M69" s="108"/>
      <c r="N69" s="42"/>
      <c r="O69" s="148"/>
      <c r="P69" s="42"/>
      <c r="Q69" s="42"/>
      <c r="R69" s="42"/>
      <c r="S69" s="42"/>
      <c r="T69" s="42"/>
      <c r="U69" s="42"/>
      <c r="V69" s="42"/>
      <c r="W69" s="42"/>
      <c r="X69" s="42"/>
      <c r="Y69" s="42"/>
      <c r="Z69" s="42"/>
    </row>
    <row r="70" ht="18.0" customHeight="1">
      <c r="A70" s="205" t="s">
        <v>137</v>
      </c>
      <c r="B70" s="34"/>
      <c r="C70" s="34"/>
      <c r="D70" s="34"/>
      <c r="E70" s="34"/>
      <c r="F70" s="37"/>
      <c r="G70" s="208"/>
      <c r="H70" s="202"/>
      <c r="I70" s="203"/>
      <c r="J70" s="204"/>
      <c r="K70" s="34"/>
      <c r="L70" s="34"/>
      <c r="M70" s="108"/>
      <c r="N70" s="42"/>
      <c r="O70" s="148"/>
      <c r="P70" s="42"/>
      <c r="Q70" s="42"/>
      <c r="R70" s="42"/>
      <c r="S70" s="42"/>
      <c r="T70" s="42"/>
      <c r="U70" s="42"/>
      <c r="V70" s="42"/>
      <c r="W70" s="42"/>
      <c r="X70" s="42"/>
      <c r="Y70" s="42"/>
      <c r="Z70" s="42"/>
    </row>
    <row r="71" ht="18.0" customHeight="1">
      <c r="A71" s="205" t="s">
        <v>138</v>
      </c>
      <c r="B71" s="34"/>
      <c r="C71" s="34"/>
      <c r="D71" s="34"/>
      <c r="E71" s="34"/>
      <c r="F71" s="37"/>
      <c r="G71" s="208"/>
      <c r="H71" s="202"/>
      <c r="I71" s="203"/>
      <c r="J71" s="204"/>
      <c r="K71" s="34"/>
      <c r="L71" s="34"/>
      <c r="M71" s="108"/>
      <c r="N71" s="42"/>
      <c r="O71" s="42"/>
      <c r="P71" s="42"/>
      <c r="Q71" s="42"/>
      <c r="R71" s="42"/>
      <c r="S71" s="42"/>
      <c r="T71" s="42"/>
      <c r="U71" s="42"/>
      <c r="V71" s="42"/>
      <c r="W71" s="42"/>
      <c r="X71" s="42"/>
      <c r="Y71" s="42"/>
      <c r="Z71" s="42"/>
    </row>
    <row r="72" ht="15.75" customHeight="1">
      <c r="A72" s="200" t="s">
        <v>139</v>
      </c>
      <c r="B72" s="34"/>
      <c r="C72" s="34"/>
      <c r="D72" s="34"/>
      <c r="E72" s="34"/>
      <c r="F72" s="37"/>
      <c r="G72" s="208"/>
      <c r="H72" s="202"/>
      <c r="I72" s="203"/>
      <c r="J72" s="204"/>
      <c r="K72" s="34"/>
      <c r="L72" s="34"/>
      <c r="M72" s="108"/>
      <c r="N72" s="42"/>
      <c r="O72" s="42"/>
      <c r="P72" s="42"/>
      <c r="Q72" s="42"/>
      <c r="R72" s="42"/>
      <c r="S72" s="42"/>
      <c r="T72" s="42"/>
      <c r="U72" s="42"/>
      <c r="V72" s="42"/>
      <c r="W72" s="42"/>
      <c r="X72" s="42"/>
      <c r="Y72" s="42"/>
      <c r="Z72" s="42"/>
    </row>
    <row r="73" ht="29.25" customHeight="1">
      <c r="A73" s="218" t="s">
        <v>140</v>
      </c>
      <c r="B73" s="34"/>
      <c r="C73" s="34"/>
      <c r="D73" s="34"/>
      <c r="E73" s="34"/>
      <c r="F73" s="37"/>
      <c r="G73" s="223"/>
      <c r="H73" s="224"/>
      <c r="I73" s="203"/>
      <c r="J73" s="204"/>
      <c r="K73" s="34"/>
      <c r="L73" s="34"/>
      <c r="M73" s="108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</row>
    <row r="74" ht="29.25" customHeight="1">
      <c r="A74" s="218" t="s">
        <v>141</v>
      </c>
      <c r="B74" s="34"/>
      <c r="C74" s="34"/>
      <c r="D74" s="34"/>
      <c r="E74" s="34"/>
      <c r="F74" s="37"/>
      <c r="G74" s="223"/>
      <c r="H74" s="224"/>
      <c r="I74" s="203"/>
      <c r="J74" s="204"/>
      <c r="K74" s="34"/>
      <c r="L74" s="34"/>
      <c r="M74" s="108"/>
      <c r="N74" s="42"/>
      <c r="O74" s="42"/>
      <c r="P74" s="42"/>
      <c r="Q74" s="42"/>
      <c r="R74" s="42"/>
      <c r="S74" s="42"/>
      <c r="T74" s="42"/>
      <c r="U74" s="42"/>
      <c r="V74" s="42"/>
      <c r="W74" s="42"/>
      <c r="X74" s="42"/>
      <c r="Y74" s="42"/>
      <c r="Z74" s="42"/>
    </row>
    <row r="75" ht="9.75" customHeight="1">
      <c r="A75" s="225" t="s">
        <v>142</v>
      </c>
      <c r="B75" s="34"/>
      <c r="C75" s="34"/>
      <c r="D75" s="34"/>
      <c r="E75" s="34"/>
      <c r="F75" s="37"/>
      <c r="G75" s="223"/>
      <c r="H75" s="224"/>
      <c r="I75" s="203"/>
      <c r="J75" s="204"/>
      <c r="K75" s="34"/>
      <c r="L75" s="34"/>
      <c r="M75" s="108"/>
      <c r="N75" s="42"/>
      <c r="O75" s="42"/>
      <c r="P75" s="42"/>
      <c r="Q75" s="42"/>
      <c r="R75" s="42"/>
      <c r="S75" s="42"/>
      <c r="T75" s="42"/>
      <c r="U75" s="42"/>
      <c r="V75" s="42"/>
      <c r="W75" s="42"/>
      <c r="X75" s="42"/>
      <c r="Y75" s="42"/>
      <c r="Z75" s="42"/>
    </row>
    <row r="76" ht="19.5" customHeight="1">
      <c r="A76" s="205" t="s">
        <v>143</v>
      </c>
      <c r="B76" s="34"/>
      <c r="C76" s="34"/>
      <c r="D76" s="34"/>
      <c r="E76" s="34"/>
      <c r="F76" s="37"/>
      <c r="G76" s="208"/>
      <c r="H76" s="202"/>
      <c r="I76" s="203"/>
      <c r="J76" s="204"/>
      <c r="K76" s="34"/>
      <c r="L76" s="34"/>
      <c r="M76" s="108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</row>
    <row r="77" ht="15.75" customHeight="1">
      <c r="A77" s="200" t="s">
        <v>144</v>
      </c>
      <c r="B77" s="34"/>
      <c r="C77" s="34"/>
      <c r="D77" s="34"/>
      <c r="E77" s="34"/>
      <c r="F77" s="37"/>
      <c r="G77" s="208"/>
      <c r="H77" s="202"/>
      <c r="I77" s="203"/>
      <c r="J77" s="204"/>
      <c r="K77" s="34"/>
      <c r="L77" s="34"/>
      <c r="M77" s="108"/>
      <c r="N77" s="42"/>
      <c r="O77" s="42"/>
      <c r="P77" s="42"/>
      <c r="Q77" s="42"/>
      <c r="R77" s="42"/>
      <c r="S77" s="42"/>
      <c r="T77" s="42"/>
      <c r="U77" s="42"/>
      <c r="V77" s="42"/>
      <c r="W77" s="42"/>
      <c r="X77" s="42"/>
      <c r="Y77" s="42"/>
      <c r="Z77" s="42"/>
    </row>
    <row r="78" ht="18.75" customHeight="1">
      <c r="A78" s="205" t="s">
        <v>145</v>
      </c>
      <c r="B78" s="34"/>
      <c r="C78" s="34"/>
      <c r="D78" s="34"/>
      <c r="E78" s="34"/>
      <c r="F78" s="37"/>
      <c r="G78" s="208"/>
      <c r="H78" s="202"/>
      <c r="I78" s="203"/>
      <c r="J78" s="204"/>
      <c r="K78" s="34"/>
      <c r="L78" s="34"/>
      <c r="M78" s="108"/>
      <c r="N78" s="42"/>
      <c r="O78" s="42"/>
      <c r="P78" s="42"/>
      <c r="Q78" s="42"/>
      <c r="R78" s="42"/>
      <c r="S78" s="42"/>
      <c r="T78" s="42"/>
      <c r="U78" s="42"/>
      <c r="V78" s="42"/>
      <c r="W78" s="42"/>
      <c r="X78" s="42"/>
      <c r="Y78" s="42"/>
      <c r="Z78" s="42"/>
    </row>
    <row r="79" ht="18.75" customHeight="1">
      <c r="A79" s="225" t="s">
        <v>146</v>
      </c>
      <c r="B79" s="34"/>
      <c r="C79" s="34"/>
      <c r="D79" s="34"/>
      <c r="E79" s="34"/>
      <c r="F79" s="37"/>
      <c r="G79" s="208"/>
      <c r="H79" s="202"/>
      <c r="I79" s="203"/>
      <c r="J79" s="204"/>
      <c r="K79" s="34"/>
      <c r="L79" s="34"/>
      <c r="M79" s="108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</row>
    <row r="80" ht="18.75" customHeight="1">
      <c r="A80" s="205" t="s">
        <v>147</v>
      </c>
      <c r="B80" s="34"/>
      <c r="C80" s="34"/>
      <c r="D80" s="34"/>
      <c r="E80" s="34"/>
      <c r="F80" s="37"/>
      <c r="G80" s="208"/>
      <c r="H80" s="202"/>
      <c r="I80" s="203"/>
      <c r="J80" s="204"/>
      <c r="K80" s="34"/>
      <c r="L80" s="34"/>
      <c r="M80" s="108"/>
      <c r="N80" s="42"/>
      <c r="O80" s="42"/>
      <c r="P80" s="42"/>
      <c r="Q80" s="42"/>
      <c r="R80" s="42"/>
      <c r="S80" s="42"/>
      <c r="T80" s="42"/>
      <c r="U80" s="42"/>
      <c r="V80" s="42"/>
      <c r="W80" s="42"/>
      <c r="X80" s="42"/>
      <c r="Y80" s="42"/>
      <c r="Z80" s="42"/>
    </row>
    <row r="81" ht="18.75" customHeight="1">
      <c r="A81" s="205" t="s">
        <v>148</v>
      </c>
      <c r="B81" s="34"/>
      <c r="C81" s="34"/>
      <c r="D81" s="34"/>
      <c r="E81" s="34"/>
      <c r="F81" s="37"/>
      <c r="G81" s="208"/>
      <c r="H81" s="202"/>
      <c r="I81" s="203"/>
      <c r="J81" s="204"/>
      <c r="K81" s="34"/>
      <c r="L81" s="34"/>
      <c r="M81" s="108"/>
      <c r="N81" s="42"/>
      <c r="O81" s="42"/>
      <c r="P81" s="42"/>
      <c r="Q81" s="42"/>
      <c r="R81" s="42"/>
      <c r="S81" s="42"/>
      <c r="T81" s="42"/>
      <c r="U81" s="42"/>
      <c r="V81" s="42"/>
      <c r="W81" s="42"/>
      <c r="X81" s="42"/>
      <c r="Y81" s="42"/>
      <c r="Z81" s="42"/>
    </row>
    <row r="82" ht="18.75" customHeight="1">
      <c r="A82" s="205" t="s">
        <v>149</v>
      </c>
      <c r="B82" s="34"/>
      <c r="C82" s="34"/>
      <c r="D82" s="34"/>
      <c r="E82" s="34"/>
      <c r="F82" s="37"/>
      <c r="G82" s="208"/>
      <c r="H82" s="202"/>
      <c r="I82" s="203"/>
      <c r="J82" s="204"/>
      <c r="K82" s="34"/>
      <c r="L82" s="34"/>
      <c r="M82" s="108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</row>
    <row r="83" ht="18.75" customHeight="1">
      <c r="A83" s="205" t="s">
        <v>150</v>
      </c>
      <c r="B83" s="34"/>
      <c r="C83" s="34"/>
      <c r="D83" s="34"/>
      <c r="E83" s="34"/>
      <c r="F83" s="37"/>
      <c r="G83" s="208"/>
      <c r="H83" s="202"/>
      <c r="I83" s="203"/>
      <c r="J83" s="204"/>
      <c r="K83" s="34"/>
      <c r="L83" s="34"/>
      <c r="M83" s="108"/>
      <c r="N83" s="42"/>
      <c r="O83" s="42"/>
      <c r="P83" s="42"/>
      <c r="Q83" s="42"/>
      <c r="R83" s="42"/>
      <c r="S83" s="42"/>
      <c r="T83" s="42"/>
      <c r="U83" s="42"/>
      <c r="V83" s="42"/>
      <c r="W83" s="42"/>
      <c r="X83" s="42"/>
      <c r="Y83" s="42"/>
      <c r="Z83" s="42"/>
    </row>
    <row r="84" ht="18.75" customHeight="1">
      <c r="A84" s="205" t="s">
        <v>151</v>
      </c>
      <c r="B84" s="34"/>
      <c r="C84" s="34"/>
      <c r="D84" s="34"/>
      <c r="E84" s="34"/>
      <c r="F84" s="37"/>
      <c r="G84" s="208"/>
      <c r="H84" s="202"/>
      <c r="I84" s="203"/>
      <c r="J84" s="204"/>
      <c r="K84" s="34"/>
      <c r="L84" s="34"/>
      <c r="M84" s="108"/>
      <c r="N84" s="42"/>
      <c r="O84" s="42"/>
      <c r="P84" s="42"/>
      <c r="Q84" s="42"/>
      <c r="R84" s="42"/>
      <c r="S84" s="42"/>
      <c r="T84" s="42"/>
      <c r="U84" s="42"/>
      <c r="V84" s="42"/>
      <c r="W84" s="42"/>
      <c r="X84" s="42"/>
      <c r="Y84" s="42"/>
      <c r="Z84" s="42"/>
    </row>
    <row r="85" ht="18.75" customHeight="1">
      <c r="A85" s="205" t="s">
        <v>152</v>
      </c>
      <c r="B85" s="34"/>
      <c r="C85" s="34"/>
      <c r="D85" s="34"/>
      <c r="E85" s="34"/>
      <c r="F85" s="37"/>
      <c r="G85" s="208"/>
      <c r="H85" s="202"/>
      <c r="I85" s="203"/>
      <c r="J85" s="204"/>
      <c r="K85" s="34"/>
      <c r="L85" s="34"/>
      <c r="M85" s="108"/>
      <c r="N85" s="42"/>
      <c r="O85" s="42"/>
      <c r="P85" s="42"/>
      <c r="Q85" s="42"/>
      <c r="R85" s="42"/>
      <c r="S85" s="42"/>
      <c r="T85" s="42"/>
      <c r="U85" s="42"/>
      <c r="V85" s="42"/>
      <c r="W85" s="42"/>
      <c r="X85" s="42"/>
      <c r="Y85" s="42"/>
      <c r="Z85" s="42"/>
    </row>
    <row r="86" ht="18.75" customHeight="1">
      <c r="A86" s="205" t="s">
        <v>153</v>
      </c>
      <c r="B86" s="34"/>
      <c r="C86" s="34"/>
      <c r="D86" s="34"/>
      <c r="E86" s="34"/>
      <c r="F86" s="37"/>
      <c r="G86" s="208"/>
      <c r="H86" s="202"/>
      <c r="I86" s="203"/>
      <c r="J86" s="204"/>
      <c r="K86" s="34"/>
      <c r="L86" s="34"/>
      <c r="M86" s="108"/>
      <c r="N86" s="42"/>
      <c r="O86" s="42"/>
      <c r="P86" s="42"/>
      <c r="Q86" s="42"/>
      <c r="R86" s="42"/>
      <c r="S86" s="42"/>
      <c r="T86" s="42"/>
      <c r="U86" s="42"/>
      <c r="V86" s="42"/>
      <c r="W86" s="42"/>
      <c r="X86" s="42"/>
      <c r="Y86" s="42"/>
      <c r="Z86" s="42"/>
    </row>
    <row r="87" ht="18.0" customHeight="1">
      <c r="A87" s="200" t="s">
        <v>154</v>
      </c>
      <c r="B87" s="34"/>
      <c r="C87" s="34"/>
      <c r="D87" s="34"/>
      <c r="E87" s="34"/>
      <c r="F87" s="37"/>
      <c r="G87" s="208"/>
      <c r="H87" s="202"/>
      <c r="I87" s="203"/>
      <c r="J87" s="204"/>
      <c r="K87" s="34"/>
      <c r="L87" s="34"/>
      <c r="M87" s="108"/>
      <c r="N87" s="42"/>
      <c r="O87" s="42"/>
      <c r="P87" s="42"/>
      <c r="Q87" s="42"/>
      <c r="R87" s="42"/>
      <c r="S87" s="42"/>
      <c r="T87" s="42"/>
      <c r="U87" s="42"/>
      <c r="V87" s="42"/>
      <c r="W87" s="42"/>
      <c r="X87" s="42"/>
      <c r="Y87" s="42"/>
      <c r="Z87" s="42"/>
    </row>
    <row r="88" ht="18.0" customHeight="1">
      <c r="A88" s="205" t="s">
        <v>155</v>
      </c>
      <c r="B88" s="34"/>
      <c r="C88" s="34"/>
      <c r="D88" s="34"/>
      <c r="E88" s="34"/>
      <c r="F88" s="37"/>
      <c r="G88" s="208"/>
      <c r="H88" s="202"/>
      <c r="I88" s="203"/>
      <c r="J88" s="204"/>
      <c r="K88" s="34"/>
      <c r="L88" s="34"/>
      <c r="M88" s="108"/>
      <c r="N88" s="42"/>
      <c r="O88" s="42"/>
      <c r="P88" s="42"/>
      <c r="Q88" s="42"/>
      <c r="R88" s="42"/>
      <c r="S88" s="42"/>
      <c r="T88" s="42"/>
      <c r="U88" s="42"/>
      <c r="V88" s="42"/>
      <c r="W88" s="42"/>
      <c r="X88" s="42"/>
      <c r="Y88" s="42"/>
      <c r="Z88" s="42"/>
    </row>
    <row r="89" ht="18.0" customHeight="1">
      <c r="A89" s="226" t="s">
        <v>156</v>
      </c>
      <c r="B89" s="23"/>
      <c r="C89" s="23"/>
      <c r="D89" s="23"/>
      <c r="E89" s="23"/>
      <c r="F89" s="24"/>
      <c r="G89" s="227"/>
      <c r="H89" s="228"/>
      <c r="I89" s="229"/>
      <c r="J89" s="230"/>
      <c r="K89" s="23"/>
      <c r="L89" s="23"/>
      <c r="M89" s="136"/>
      <c r="N89" s="42"/>
      <c r="O89" s="42"/>
      <c r="P89" s="42"/>
      <c r="Q89" s="42"/>
      <c r="R89" s="42"/>
      <c r="S89" s="42"/>
      <c r="T89" s="42"/>
      <c r="U89" s="42"/>
      <c r="V89" s="42"/>
      <c r="W89" s="42"/>
      <c r="X89" s="42"/>
      <c r="Y89" s="42"/>
      <c r="Z89" s="42"/>
    </row>
    <row r="90" ht="15.0" customHeight="1">
      <c r="A90" s="148"/>
      <c r="B90" s="148"/>
      <c r="C90" s="148"/>
      <c r="D90" s="148"/>
      <c r="E90" s="148"/>
      <c r="F90" s="231" t="s">
        <v>157</v>
      </c>
      <c r="G90" s="232"/>
      <c r="H90" s="233">
        <f t="shared" ref="H90:I90" si="1">SUM(H27:H89)</f>
        <v>2</v>
      </c>
      <c r="I90" s="233">
        <f t="shared" si="1"/>
        <v>2</v>
      </c>
      <c r="J90" s="234" t="str">
        <f>IF(M3 = TRUE,IF(AND(H90 &lt;= VLOOKUP(F108,B95:G103,3,TRUE), I90 &lt;= VLOOKUP(F108,B95:G103,5,TRUE)), "Pass", "Fail"),IF(AND(H90 &lt;= VLOOKUP(O108,K95:O103,3,TRUE), I90 &lt;= VLOOKUP(O108,K95:O103,5,TRUE)), "Pass", "Fail"))</f>
        <v>Pass</v>
      </c>
      <c r="K90" s="148"/>
      <c r="L90" s="148"/>
      <c r="M90" s="148"/>
      <c r="N90" s="42"/>
      <c r="O90" s="42"/>
      <c r="P90" s="42"/>
      <c r="Q90" s="42"/>
      <c r="R90" s="42"/>
      <c r="S90" s="42"/>
      <c r="T90" s="42"/>
      <c r="U90" s="42"/>
      <c r="V90" s="42"/>
      <c r="W90" s="42"/>
      <c r="X90" s="42"/>
      <c r="Y90" s="42"/>
      <c r="Z90" s="42"/>
    </row>
    <row r="91" ht="1.5" customHeight="1">
      <c r="A91" s="235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8"/>
      <c r="N91" s="42"/>
      <c r="O91" s="42"/>
      <c r="P91" s="42"/>
      <c r="Q91" s="42"/>
      <c r="R91" s="42"/>
      <c r="S91" s="42"/>
      <c r="T91" s="42"/>
      <c r="U91" s="42"/>
      <c r="V91" s="42"/>
      <c r="W91" s="42"/>
      <c r="X91" s="42"/>
      <c r="Y91" s="42"/>
      <c r="Z91" s="42"/>
    </row>
    <row r="92" ht="14.25" customHeight="1">
      <c r="A92" s="236" t="s">
        <v>158</v>
      </c>
      <c r="B92" s="14"/>
      <c r="C92" s="14"/>
      <c r="D92" s="14"/>
      <c r="E92" s="14"/>
      <c r="F92" s="14"/>
      <c r="G92" s="21"/>
      <c r="H92" s="237"/>
      <c r="I92" s="148"/>
      <c r="J92" s="236" t="s">
        <v>159</v>
      </c>
      <c r="K92" s="14"/>
      <c r="L92" s="14"/>
      <c r="M92" s="14"/>
      <c r="N92" s="14"/>
      <c r="O92" s="14"/>
      <c r="P92" s="21"/>
      <c r="Q92" s="42"/>
      <c r="R92" s="42"/>
      <c r="S92" s="42"/>
      <c r="T92" s="42"/>
      <c r="U92" s="42"/>
      <c r="V92" s="42"/>
      <c r="W92" s="42"/>
      <c r="X92" s="42"/>
      <c r="Y92" s="42"/>
      <c r="Z92" s="42"/>
    </row>
    <row r="93" ht="15.75" customHeight="1">
      <c r="A93" s="238" t="s">
        <v>160</v>
      </c>
      <c r="B93" s="239" t="s">
        <v>161</v>
      </c>
      <c r="C93" s="37"/>
      <c r="D93" s="240" t="s">
        <v>162</v>
      </c>
      <c r="E93" s="37"/>
      <c r="F93" s="240" t="s">
        <v>163</v>
      </c>
      <c r="G93" s="108"/>
      <c r="H93" s="42"/>
      <c r="I93" s="42"/>
      <c r="J93" s="238" t="s">
        <v>160</v>
      </c>
      <c r="K93" s="239" t="s">
        <v>161</v>
      </c>
      <c r="L93" s="37"/>
      <c r="M93" s="240" t="s">
        <v>164</v>
      </c>
      <c r="N93" s="37"/>
      <c r="O93" s="240" t="s">
        <v>165</v>
      </c>
      <c r="P93" s="108"/>
      <c r="Q93" s="42"/>
      <c r="R93" s="42"/>
      <c r="S93" s="42"/>
      <c r="T93" s="42"/>
      <c r="U93" s="42"/>
      <c r="V93" s="42"/>
      <c r="W93" s="42"/>
      <c r="X93" s="42"/>
      <c r="Y93" s="42"/>
      <c r="Z93" s="42"/>
    </row>
    <row r="94" ht="9.75" customHeight="1">
      <c r="A94" s="241"/>
      <c r="B94" s="242"/>
      <c r="C94" s="37"/>
      <c r="D94" s="243" t="s">
        <v>166</v>
      </c>
      <c r="E94" s="243" t="s">
        <v>167</v>
      </c>
      <c r="F94" s="243" t="s">
        <v>166</v>
      </c>
      <c r="G94" s="244" t="s">
        <v>167</v>
      </c>
      <c r="H94" s="245">
        <v>51.0</v>
      </c>
      <c r="I94" s="246">
        <v>13.0</v>
      </c>
      <c r="J94" s="241"/>
      <c r="K94" s="242"/>
      <c r="L94" s="37"/>
      <c r="M94" s="243" t="s">
        <v>166</v>
      </c>
      <c r="N94" s="243" t="s">
        <v>167</v>
      </c>
      <c r="O94" s="243" t="s">
        <v>166</v>
      </c>
      <c r="P94" s="244" t="s">
        <v>167</v>
      </c>
      <c r="Q94" s="42"/>
      <c r="R94" s="42"/>
      <c r="S94" s="42"/>
      <c r="T94" s="42"/>
      <c r="U94" s="42"/>
      <c r="V94" s="42"/>
      <c r="W94" s="42"/>
      <c r="X94" s="42"/>
      <c r="Y94" s="42"/>
      <c r="Z94" s="42"/>
    </row>
    <row r="95" ht="15.75" customHeight="1">
      <c r="A95" s="247" t="s">
        <v>168</v>
      </c>
      <c r="B95" s="248">
        <v>13.0</v>
      </c>
      <c r="C95" s="37"/>
      <c r="D95" s="249">
        <v>0.0</v>
      </c>
      <c r="E95" s="249">
        <v>1.0</v>
      </c>
      <c r="F95" s="249">
        <v>0.0</v>
      </c>
      <c r="G95" s="250">
        <v>1.0</v>
      </c>
      <c r="H95" s="245">
        <v>91.0</v>
      </c>
      <c r="I95" s="246">
        <v>20.0</v>
      </c>
      <c r="J95" s="247" t="s">
        <v>168</v>
      </c>
      <c r="K95" s="248">
        <v>13.0</v>
      </c>
      <c r="L95" s="37"/>
      <c r="M95" s="249">
        <v>1.0</v>
      </c>
      <c r="N95" s="249">
        <v>2.0</v>
      </c>
      <c r="O95" s="249">
        <v>1.0</v>
      </c>
      <c r="P95" s="249">
        <v>2.0</v>
      </c>
      <c r="Q95" s="42"/>
      <c r="R95" s="42"/>
      <c r="S95" s="42"/>
      <c r="T95" s="42"/>
      <c r="U95" s="42"/>
      <c r="V95" s="42"/>
      <c r="W95" s="42"/>
      <c r="X95" s="42"/>
      <c r="Y95" s="42"/>
      <c r="Z95" s="42"/>
    </row>
    <row r="96" ht="15.75" customHeight="1">
      <c r="A96" s="247" t="s">
        <v>169</v>
      </c>
      <c r="B96" s="248">
        <v>20.0</v>
      </c>
      <c r="C96" s="37"/>
      <c r="D96" s="249">
        <v>1.0</v>
      </c>
      <c r="E96" s="249">
        <v>2.0</v>
      </c>
      <c r="F96" s="249">
        <v>1.0</v>
      </c>
      <c r="G96" s="250">
        <v>2.0</v>
      </c>
      <c r="H96" s="245">
        <v>151.0</v>
      </c>
      <c r="I96" s="246">
        <v>32.0</v>
      </c>
      <c r="J96" s="247" t="s">
        <v>169</v>
      </c>
      <c r="K96" s="248">
        <v>20.0</v>
      </c>
      <c r="L96" s="37"/>
      <c r="M96" s="249">
        <v>1.0</v>
      </c>
      <c r="N96" s="249">
        <v>2.0</v>
      </c>
      <c r="O96" s="249">
        <v>1.0</v>
      </c>
      <c r="P96" s="249">
        <v>2.0</v>
      </c>
      <c r="Q96" s="42"/>
      <c r="R96" s="42"/>
      <c r="S96" s="42"/>
      <c r="T96" s="42"/>
      <c r="U96" s="42"/>
      <c r="V96" s="42"/>
      <c r="W96" s="42"/>
      <c r="X96" s="42"/>
      <c r="Y96" s="42"/>
      <c r="Z96" s="42"/>
    </row>
    <row r="97" ht="15.75" customHeight="1">
      <c r="A97" s="247" t="s">
        <v>170</v>
      </c>
      <c r="B97" s="248">
        <v>32.0</v>
      </c>
      <c r="C97" s="37"/>
      <c r="D97" s="151">
        <v>2.0</v>
      </c>
      <c r="E97" s="151">
        <v>3.0</v>
      </c>
      <c r="F97" s="151">
        <v>2.0</v>
      </c>
      <c r="G97" s="152">
        <v>3.0</v>
      </c>
      <c r="H97" s="245">
        <v>281.0</v>
      </c>
      <c r="I97" s="246">
        <v>50.0</v>
      </c>
      <c r="J97" s="247" t="s">
        <v>170</v>
      </c>
      <c r="K97" s="248">
        <v>32.0</v>
      </c>
      <c r="L97" s="37"/>
      <c r="M97" s="151">
        <v>2.0</v>
      </c>
      <c r="N97" s="151">
        <v>3.0</v>
      </c>
      <c r="O97" s="151">
        <v>2.0</v>
      </c>
      <c r="P97" s="151">
        <v>3.0</v>
      </c>
      <c r="Q97" s="42"/>
      <c r="R97" s="42"/>
      <c r="S97" s="42"/>
      <c r="T97" s="42"/>
      <c r="U97" s="42"/>
      <c r="V97" s="42"/>
      <c r="W97" s="42"/>
      <c r="X97" s="42"/>
      <c r="Y97" s="42"/>
      <c r="Z97" s="42"/>
    </row>
    <row r="98" ht="15.75" customHeight="1">
      <c r="A98" s="247" t="s">
        <v>171</v>
      </c>
      <c r="B98" s="248">
        <v>50.0</v>
      </c>
      <c r="C98" s="37"/>
      <c r="D98" s="151">
        <v>3.0</v>
      </c>
      <c r="E98" s="151">
        <v>4.0</v>
      </c>
      <c r="F98" s="151">
        <v>3.0</v>
      </c>
      <c r="G98" s="152">
        <v>4.0</v>
      </c>
      <c r="H98" s="245">
        <v>501.0</v>
      </c>
      <c r="I98" s="246">
        <v>80.0</v>
      </c>
      <c r="J98" s="247" t="s">
        <v>171</v>
      </c>
      <c r="K98" s="248">
        <v>50.0</v>
      </c>
      <c r="L98" s="37"/>
      <c r="M98" s="151">
        <v>3.0</v>
      </c>
      <c r="N98" s="151">
        <v>4.0</v>
      </c>
      <c r="O98" s="151">
        <v>3.0</v>
      </c>
      <c r="P98" s="151">
        <v>4.0</v>
      </c>
      <c r="Q98" s="42"/>
      <c r="R98" s="42"/>
      <c r="S98" s="42"/>
      <c r="T98" s="42"/>
      <c r="U98" s="42"/>
      <c r="V98" s="42"/>
      <c r="W98" s="42"/>
      <c r="X98" s="42"/>
      <c r="Y98" s="42"/>
      <c r="Z98" s="42"/>
    </row>
    <row r="99" ht="15.75" customHeight="1">
      <c r="A99" s="241" t="s">
        <v>172</v>
      </c>
      <c r="B99" s="248">
        <v>80.0</v>
      </c>
      <c r="C99" s="37"/>
      <c r="D99" s="151">
        <v>5.0</v>
      </c>
      <c r="E99" s="151">
        <v>6.0</v>
      </c>
      <c r="F99" s="151">
        <v>5.0</v>
      </c>
      <c r="G99" s="152">
        <v>6.0</v>
      </c>
      <c r="H99" s="245">
        <v>1201.0</v>
      </c>
      <c r="I99" s="246">
        <v>125.0</v>
      </c>
      <c r="J99" s="241" t="s">
        <v>172</v>
      </c>
      <c r="K99" s="248">
        <v>80.0</v>
      </c>
      <c r="L99" s="37"/>
      <c r="M99" s="151">
        <v>5.0</v>
      </c>
      <c r="N99" s="151">
        <v>6.0</v>
      </c>
      <c r="O99" s="151">
        <v>5.0</v>
      </c>
      <c r="P99" s="151">
        <v>6.0</v>
      </c>
      <c r="Q99" s="42"/>
      <c r="R99" s="42"/>
      <c r="S99" s="42"/>
      <c r="T99" s="42"/>
      <c r="U99" s="42"/>
      <c r="V99" s="42"/>
      <c r="W99" s="42"/>
      <c r="X99" s="42"/>
      <c r="Y99" s="42"/>
      <c r="Z99" s="42"/>
    </row>
    <row r="100" ht="15.75" customHeight="1">
      <c r="A100" s="241" t="s">
        <v>173</v>
      </c>
      <c r="B100" s="248">
        <v>125.0</v>
      </c>
      <c r="C100" s="37"/>
      <c r="D100" s="151">
        <v>7.0</v>
      </c>
      <c r="E100" s="151">
        <v>8.0</v>
      </c>
      <c r="F100" s="151">
        <v>7.0</v>
      </c>
      <c r="G100" s="152">
        <v>8.0</v>
      </c>
      <c r="H100" s="245">
        <v>3201.0</v>
      </c>
      <c r="I100" s="251">
        <v>200.0</v>
      </c>
      <c r="J100" s="241" t="s">
        <v>173</v>
      </c>
      <c r="K100" s="248">
        <v>125.0</v>
      </c>
      <c r="L100" s="37"/>
      <c r="M100" s="151">
        <v>7.0</v>
      </c>
      <c r="N100" s="151">
        <v>8.0</v>
      </c>
      <c r="O100" s="151">
        <v>7.0</v>
      </c>
      <c r="P100" s="151">
        <v>8.0</v>
      </c>
      <c r="Q100" s="148"/>
      <c r="R100" s="148"/>
      <c r="S100" s="148"/>
      <c r="T100" s="148"/>
      <c r="U100" s="148"/>
      <c r="V100" s="148"/>
      <c r="W100" s="148"/>
      <c r="X100" s="148"/>
      <c r="Y100" s="148"/>
      <c r="Z100" s="148"/>
    </row>
    <row r="101" ht="15.75" customHeight="1">
      <c r="A101" s="241" t="s">
        <v>174</v>
      </c>
      <c r="B101" s="248">
        <v>200.0</v>
      </c>
      <c r="C101" s="37"/>
      <c r="D101" s="151">
        <v>10.0</v>
      </c>
      <c r="E101" s="151">
        <v>11.0</v>
      </c>
      <c r="F101" s="151">
        <v>10.0</v>
      </c>
      <c r="G101" s="152">
        <v>11.0</v>
      </c>
      <c r="H101" s="245">
        <v>10001.0</v>
      </c>
      <c r="I101" s="246">
        <v>315.0</v>
      </c>
      <c r="J101" s="241" t="s">
        <v>174</v>
      </c>
      <c r="K101" s="248">
        <v>200.0</v>
      </c>
      <c r="L101" s="37"/>
      <c r="M101" s="151">
        <v>10.0</v>
      </c>
      <c r="N101" s="151">
        <v>11.0</v>
      </c>
      <c r="O101" s="151">
        <v>10.0</v>
      </c>
      <c r="P101" s="151">
        <v>11.0</v>
      </c>
      <c r="Q101" s="42"/>
      <c r="R101" s="42"/>
      <c r="S101" s="42"/>
      <c r="T101" s="42"/>
      <c r="U101" s="42"/>
      <c r="V101" s="42"/>
      <c r="W101" s="42"/>
      <c r="X101" s="42"/>
      <c r="Y101" s="42"/>
      <c r="Z101" s="42"/>
    </row>
    <row r="102" ht="15.75" customHeight="1">
      <c r="A102" s="247" t="s">
        <v>175</v>
      </c>
      <c r="B102" s="248">
        <v>315.0</v>
      </c>
      <c r="C102" s="37"/>
      <c r="D102" s="249">
        <v>14.0</v>
      </c>
      <c r="E102" s="249">
        <v>15.0</v>
      </c>
      <c r="F102" s="249">
        <v>14.0</v>
      </c>
      <c r="G102" s="250">
        <v>15.0</v>
      </c>
      <c r="H102" s="245">
        <v>35001.0</v>
      </c>
      <c r="I102" s="246">
        <v>500.0</v>
      </c>
      <c r="J102" s="247" t="s">
        <v>175</v>
      </c>
      <c r="K102" s="248">
        <v>315.0</v>
      </c>
      <c r="L102" s="37"/>
      <c r="M102" s="249">
        <v>14.0</v>
      </c>
      <c r="N102" s="249">
        <v>15.0</v>
      </c>
      <c r="O102" s="249">
        <v>14.0</v>
      </c>
      <c r="P102" s="249">
        <v>15.0</v>
      </c>
      <c r="Q102" s="42"/>
      <c r="R102" s="42"/>
      <c r="S102" s="42"/>
      <c r="T102" s="42"/>
      <c r="U102" s="42"/>
      <c r="V102" s="42"/>
      <c r="W102" s="42"/>
      <c r="X102" s="42"/>
      <c r="Y102" s="42"/>
      <c r="Z102" s="42"/>
    </row>
    <row r="103" ht="15.75" customHeight="1">
      <c r="A103" s="247" t="s">
        <v>176</v>
      </c>
      <c r="B103" s="248">
        <v>500.0</v>
      </c>
      <c r="C103" s="37"/>
      <c r="D103" s="249">
        <v>21.0</v>
      </c>
      <c r="E103" s="249">
        <v>22.0</v>
      </c>
      <c r="F103" s="249">
        <v>21.0</v>
      </c>
      <c r="G103" s="250">
        <v>22.0</v>
      </c>
      <c r="H103" s="42"/>
      <c r="I103" s="42"/>
      <c r="J103" s="247" t="s">
        <v>176</v>
      </c>
      <c r="K103" s="248">
        <v>500.0</v>
      </c>
      <c r="L103" s="37"/>
      <c r="M103" s="249">
        <v>21.0</v>
      </c>
      <c r="N103" s="249">
        <v>22.0</v>
      </c>
      <c r="O103" s="249">
        <v>21.0</v>
      </c>
      <c r="P103" s="249">
        <v>22.0</v>
      </c>
      <c r="Q103" s="42"/>
      <c r="R103" s="42"/>
      <c r="S103" s="42"/>
      <c r="T103" s="42"/>
      <c r="U103" s="42"/>
      <c r="V103" s="42"/>
      <c r="W103" s="42"/>
      <c r="X103" s="42"/>
      <c r="Y103" s="42"/>
      <c r="Z103" s="42"/>
    </row>
    <row r="104" ht="15.75" customHeight="1">
      <c r="A104" s="252" t="s">
        <v>177</v>
      </c>
      <c r="B104" s="34"/>
      <c r="C104" s="34"/>
      <c r="D104" s="34"/>
      <c r="E104" s="34"/>
      <c r="F104" s="34"/>
      <c r="G104" s="108"/>
      <c r="H104" s="42"/>
      <c r="I104" s="42"/>
      <c r="J104" s="252" t="s">
        <v>177</v>
      </c>
      <c r="K104" s="34"/>
      <c r="L104" s="34"/>
      <c r="M104" s="34"/>
      <c r="N104" s="34"/>
      <c r="O104" s="34"/>
      <c r="P104" s="108"/>
      <c r="Q104" s="42"/>
      <c r="R104" s="42"/>
      <c r="S104" s="42"/>
      <c r="T104" s="42"/>
      <c r="U104" s="42"/>
      <c r="V104" s="42"/>
      <c r="W104" s="42"/>
      <c r="X104" s="42"/>
      <c r="Y104" s="42"/>
      <c r="Z104" s="42"/>
    </row>
    <row r="105" ht="15.75" customHeight="1">
      <c r="A105" s="253" t="s">
        <v>178</v>
      </c>
      <c r="B105" s="254"/>
      <c r="C105" s="248" t="s">
        <v>179</v>
      </c>
      <c r="D105" s="34"/>
      <c r="E105" s="34"/>
      <c r="F105" s="34"/>
      <c r="G105" s="108"/>
      <c r="H105" s="42"/>
      <c r="I105" s="42"/>
      <c r="J105" s="253" t="s">
        <v>178</v>
      </c>
      <c r="K105" s="254"/>
      <c r="L105" s="248" t="s">
        <v>179</v>
      </c>
      <c r="M105" s="34"/>
      <c r="N105" s="34"/>
      <c r="O105" s="34"/>
      <c r="P105" s="108"/>
      <c r="Q105" s="42"/>
      <c r="R105" s="42"/>
      <c r="S105" s="42"/>
      <c r="T105" s="42"/>
      <c r="U105" s="42"/>
      <c r="V105" s="42"/>
      <c r="W105" s="42"/>
      <c r="X105" s="42"/>
      <c r="Y105" s="42"/>
      <c r="Z105" s="42"/>
    </row>
    <row r="106" ht="15.75" customHeight="1">
      <c r="A106" s="253" t="s">
        <v>180</v>
      </c>
      <c r="B106" s="254"/>
      <c r="C106" s="248" t="s">
        <v>181</v>
      </c>
      <c r="D106" s="34"/>
      <c r="E106" s="37"/>
      <c r="F106" s="204">
        <f>IF(M3 = TRUE, VLOOKUP(F108,B95:E103,3,0), 0)</f>
        <v>0</v>
      </c>
      <c r="G106" s="108"/>
      <c r="H106" s="42"/>
      <c r="I106" s="42"/>
      <c r="J106" s="253" t="s">
        <v>180</v>
      </c>
      <c r="K106" s="254"/>
      <c r="L106" s="248" t="s">
        <v>181</v>
      </c>
      <c r="M106" s="34"/>
      <c r="N106" s="37"/>
      <c r="O106" s="204">
        <f>IF(M3 = FALSE,VLOOKUP(O108,K95:P103,3,0),0)</f>
        <v>14</v>
      </c>
      <c r="P106" s="108"/>
      <c r="Q106" s="42"/>
      <c r="R106" s="42"/>
      <c r="S106" s="42"/>
      <c r="T106" s="42"/>
      <c r="U106" s="42"/>
      <c r="V106" s="42"/>
      <c r="W106" s="42"/>
      <c r="X106" s="42"/>
      <c r="Y106" s="42"/>
      <c r="Z106" s="42"/>
    </row>
    <row r="107" ht="15.75" customHeight="1">
      <c r="A107" s="253" t="s">
        <v>182</v>
      </c>
      <c r="B107" s="173"/>
      <c r="C107" s="248" t="s">
        <v>183</v>
      </c>
      <c r="D107" s="34"/>
      <c r="E107" s="37"/>
      <c r="F107" s="204">
        <f>IF(M3 = TRUE,VLOOKUP(F108,B95:F103,5,0), 0)</f>
        <v>0</v>
      </c>
      <c r="G107" s="108"/>
      <c r="H107" s="42"/>
      <c r="I107" s="42"/>
      <c r="J107" s="253" t="s">
        <v>182</v>
      </c>
      <c r="K107" s="173"/>
      <c r="L107" s="248" t="s">
        <v>183</v>
      </c>
      <c r="M107" s="34"/>
      <c r="N107" s="37"/>
      <c r="O107" s="204">
        <f>IF(M3 = FALSE,VLOOKUP(O108,K95:P103,5,0),0)</f>
        <v>14</v>
      </c>
      <c r="P107" s="108"/>
      <c r="Q107" s="42"/>
      <c r="R107" s="42"/>
      <c r="S107" s="42"/>
      <c r="T107" s="42"/>
      <c r="U107" s="42"/>
      <c r="V107" s="42"/>
      <c r="W107" s="42"/>
      <c r="X107" s="42"/>
      <c r="Y107" s="42"/>
      <c r="Z107" s="42"/>
    </row>
    <row r="108" ht="15.75" customHeight="1">
      <c r="A108" s="255" t="s">
        <v>184</v>
      </c>
      <c r="B108" s="23"/>
      <c r="C108" s="23"/>
      <c r="D108" s="23"/>
      <c r="E108" s="24"/>
      <c r="F108" s="230">
        <f>E5</f>
        <v>315</v>
      </c>
      <c r="G108" s="136"/>
      <c r="H108" s="42"/>
      <c r="I108" s="42"/>
      <c r="J108" s="255" t="s">
        <v>184</v>
      </c>
      <c r="K108" s="23"/>
      <c r="L108" s="23"/>
      <c r="M108" s="23"/>
      <c r="N108" s="24"/>
      <c r="O108" s="230">
        <f>E5</f>
        <v>315</v>
      </c>
      <c r="P108" s="136"/>
      <c r="Q108" s="42"/>
      <c r="R108" s="42"/>
      <c r="S108" s="42"/>
      <c r="T108" s="42"/>
      <c r="U108" s="42"/>
      <c r="V108" s="42"/>
      <c r="W108" s="42"/>
      <c r="X108" s="42"/>
      <c r="Y108" s="42"/>
      <c r="Z108" s="42"/>
    </row>
    <row r="109" ht="9.75" customHeight="1">
      <c r="A109" s="148" t="b">
        <v>0</v>
      </c>
      <c r="B109" s="256" t="s">
        <v>185</v>
      </c>
      <c r="C109" s="148"/>
      <c r="D109" s="148" t="s">
        <v>186</v>
      </c>
      <c r="E109" s="148"/>
      <c r="F109" s="42"/>
      <c r="G109" s="42"/>
      <c r="H109" s="42"/>
      <c r="I109" s="42"/>
      <c r="J109" s="42"/>
      <c r="K109" s="42"/>
      <c r="L109" s="42"/>
      <c r="M109" s="42"/>
      <c r="N109" s="42"/>
      <c r="O109" s="42"/>
      <c r="P109" s="42"/>
      <c r="Q109" s="42"/>
      <c r="R109" s="42"/>
      <c r="S109" s="42"/>
      <c r="T109" s="42"/>
      <c r="U109" s="42"/>
      <c r="V109" s="42"/>
      <c r="W109" s="42"/>
      <c r="X109" s="42"/>
      <c r="Y109" s="42"/>
      <c r="Z109" s="42"/>
    </row>
    <row r="110" ht="0.75" customHeight="1">
      <c r="A110" s="146" t="b">
        <v>0</v>
      </c>
      <c r="B110" s="148"/>
      <c r="C110" s="148"/>
      <c r="D110" s="257"/>
      <c r="E110" s="148"/>
      <c r="F110" s="42"/>
      <c r="G110" s="42"/>
      <c r="H110" s="42"/>
      <c r="I110" s="42"/>
      <c r="J110" s="42"/>
      <c r="K110" s="42"/>
      <c r="L110" s="42"/>
      <c r="M110" s="42"/>
      <c r="N110" s="42"/>
      <c r="O110" s="42"/>
      <c r="P110" s="42"/>
      <c r="Q110" s="42"/>
      <c r="R110" s="42"/>
      <c r="S110" s="42"/>
      <c r="T110" s="42"/>
      <c r="U110" s="42"/>
      <c r="V110" s="42"/>
      <c r="W110" s="42"/>
      <c r="X110" s="42"/>
      <c r="Y110" s="42"/>
      <c r="Z110" s="42"/>
    </row>
    <row r="111" ht="9.75" customHeight="1">
      <c r="A111" s="146" t="b">
        <v>0</v>
      </c>
      <c r="B111" s="148" t="s">
        <v>187</v>
      </c>
      <c r="C111" s="148"/>
      <c r="D111" s="257" t="s">
        <v>188</v>
      </c>
      <c r="E111" s="148"/>
      <c r="F111" s="42"/>
      <c r="G111" s="42"/>
      <c r="H111" s="42"/>
      <c r="I111" s="42"/>
      <c r="J111" s="42"/>
      <c r="K111" s="42"/>
      <c r="L111" s="42"/>
      <c r="M111" s="42"/>
      <c r="N111" s="42"/>
      <c r="O111" s="42"/>
      <c r="P111" s="42"/>
      <c r="Q111" s="42"/>
      <c r="R111" s="42"/>
      <c r="S111" s="42"/>
      <c r="T111" s="42"/>
      <c r="U111" s="42"/>
      <c r="V111" s="42"/>
      <c r="W111" s="42"/>
      <c r="X111" s="42"/>
      <c r="Y111" s="42"/>
      <c r="Z111" s="42"/>
    </row>
    <row r="112" ht="1.5" customHeight="1">
      <c r="A112" s="146" t="b">
        <v>0</v>
      </c>
      <c r="B112" s="148"/>
      <c r="C112" s="148"/>
      <c r="D112" s="148"/>
      <c r="E112" s="148"/>
      <c r="F112" s="42"/>
      <c r="G112" s="42"/>
      <c r="H112" s="42"/>
      <c r="I112" s="42"/>
      <c r="J112" s="42"/>
      <c r="K112" s="42"/>
      <c r="L112" s="42"/>
      <c r="M112" s="42"/>
      <c r="N112" s="42"/>
      <c r="O112" s="42"/>
      <c r="P112" s="42"/>
      <c r="Q112" s="42"/>
      <c r="R112" s="42"/>
      <c r="S112" s="42"/>
      <c r="T112" s="42"/>
      <c r="U112" s="42"/>
      <c r="V112" s="42"/>
      <c r="W112" s="42"/>
      <c r="X112" s="42"/>
      <c r="Y112" s="42"/>
      <c r="Z112" s="42"/>
    </row>
    <row r="113" ht="9.75" customHeight="1">
      <c r="A113" s="148" t="b">
        <v>0</v>
      </c>
      <c r="B113" s="148" t="s">
        <v>189</v>
      </c>
      <c r="C113" s="148"/>
      <c r="D113" s="148"/>
      <c r="E113" s="148"/>
      <c r="F113" s="42"/>
      <c r="G113" s="42"/>
      <c r="H113" s="42"/>
      <c r="I113" s="42"/>
      <c r="J113" s="42"/>
      <c r="K113" s="42"/>
      <c r="L113" s="42"/>
      <c r="M113" s="42"/>
      <c r="N113" s="42"/>
      <c r="O113" s="42"/>
      <c r="P113" s="42"/>
      <c r="Q113" s="42"/>
      <c r="R113" s="42"/>
      <c r="S113" s="42"/>
      <c r="T113" s="42"/>
      <c r="U113" s="42"/>
      <c r="V113" s="42"/>
      <c r="W113" s="42"/>
      <c r="X113" s="42"/>
      <c r="Y113" s="42"/>
      <c r="Z113" s="42"/>
    </row>
    <row r="114" ht="9.75" customHeight="1">
      <c r="A114" s="148" t="b">
        <v>0</v>
      </c>
      <c r="B114" s="148" t="s">
        <v>190</v>
      </c>
      <c r="C114" s="148"/>
      <c r="D114" s="148"/>
      <c r="E114" s="148"/>
      <c r="F114" s="42"/>
      <c r="G114" s="42"/>
      <c r="H114" s="42"/>
      <c r="I114" s="42"/>
      <c r="J114" s="42"/>
      <c r="K114" s="42"/>
      <c r="L114" s="42"/>
      <c r="M114" s="42"/>
      <c r="N114" s="42"/>
      <c r="O114" s="42"/>
      <c r="P114" s="42"/>
      <c r="Q114" s="42"/>
      <c r="R114" s="42"/>
      <c r="S114" s="42"/>
      <c r="T114" s="42"/>
      <c r="U114" s="42"/>
      <c r="V114" s="42"/>
      <c r="W114" s="42"/>
      <c r="X114" s="42"/>
      <c r="Y114" s="42"/>
      <c r="Z114" s="42"/>
    </row>
    <row r="115" ht="0.75" customHeight="1">
      <c r="A115" s="148"/>
      <c r="B115" s="148"/>
      <c r="C115" s="148"/>
      <c r="D115" s="148"/>
      <c r="E115" s="148"/>
      <c r="F115" s="42"/>
      <c r="G115" s="42"/>
      <c r="H115" s="42"/>
      <c r="I115" s="42"/>
      <c r="J115" s="42"/>
      <c r="K115" s="42"/>
      <c r="L115" s="42"/>
      <c r="M115" s="42"/>
      <c r="N115" s="42"/>
      <c r="O115" s="42"/>
      <c r="P115" s="42"/>
      <c r="Q115" s="42"/>
      <c r="R115" s="42"/>
      <c r="S115" s="42"/>
      <c r="T115" s="42"/>
      <c r="U115" s="42"/>
      <c r="V115" s="42"/>
      <c r="W115" s="42"/>
      <c r="X115" s="42"/>
      <c r="Y115" s="42"/>
      <c r="Z115" s="42"/>
    </row>
    <row r="116" ht="9.75" customHeight="1">
      <c r="A116" s="127" t="s">
        <v>191</v>
      </c>
      <c r="B116" s="127"/>
      <c r="C116" s="127"/>
      <c r="D116" s="42"/>
      <c r="E116" s="42"/>
      <c r="F116" s="258" t="s">
        <v>192</v>
      </c>
      <c r="G116" s="8"/>
      <c r="H116" s="127"/>
      <c r="I116" s="42"/>
      <c r="J116" s="42"/>
      <c r="K116" s="42"/>
      <c r="L116" s="42"/>
      <c r="M116" s="259" t="s">
        <v>193</v>
      </c>
      <c r="N116" s="42"/>
      <c r="O116" s="42"/>
      <c r="P116" s="42"/>
      <c r="Q116" s="42"/>
      <c r="R116" s="42"/>
      <c r="S116" s="42"/>
      <c r="T116" s="42"/>
      <c r="U116" s="42"/>
      <c r="V116" s="42"/>
      <c r="W116" s="42"/>
      <c r="X116" s="42"/>
      <c r="Y116" s="42"/>
      <c r="Z116" s="42"/>
    </row>
    <row r="117" ht="22.5" customHeight="1">
      <c r="A117" s="260"/>
      <c r="B117" s="260"/>
      <c r="C117" s="260"/>
      <c r="D117" s="260"/>
      <c r="E117" s="260"/>
      <c r="F117" s="260"/>
      <c r="G117" s="260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ht="9.75" customHeight="1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ht="9.75" customHeight="1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ht="9.75" customHeight="1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ht="9.75" customHeight="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ht="9.75" customHeight="1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ht="9.75" customHeight="1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ht="9.75" customHeight="1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ht="9.75" customHeight="1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ht="9.75" customHeight="1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ht="9.75" customHeight="1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ht="9.75" customHeight="1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ht="9.75" customHeight="1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ht="9.75" customHeight="1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ht="9.75" customHeight="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ht="9.75" customHeight="1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ht="9.75" customHeight="1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ht="9.75" customHeight="1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ht="9.75" customHeight="1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ht="9.75" customHeight="1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ht="9.75" customHeight="1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ht="9.75" customHeight="1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ht="9.75" customHeight="1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ht="9.75" customHeight="1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ht="9.75" customHeight="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ht="9.75" customHeight="1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ht="9.75" customHeight="1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ht="9.75" customHeight="1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ht="9.75" customHeight="1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ht="9.75" customHeight="1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ht="9.75" customHeight="1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ht="9.75" customHeight="1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ht="9.75" customHeight="1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ht="9.75" customHeight="1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ht="9.75" customHeight="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ht="9.75" customHeight="1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ht="9.75" customHeight="1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ht="9.75" customHeight="1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ht="9.75" customHeight="1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ht="9.75" customHeight="1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ht="9.75" customHeight="1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ht="9.75" customHeight="1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ht="9.75" customHeight="1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ht="9.75" customHeight="1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ht="9.75" customHeight="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ht="9.75" customHeight="1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ht="9.75" customHeight="1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ht="9.75" customHeight="1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ht="9.75" customHeight="1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ht="9.75" customHeight="1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ht="9.75" customHeight="1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ht="9.75" customHeight="1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ht="9.75" customHeight="1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ht="9.75" customHeight="1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ht="9.75" customHeight="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ht="9.75" customHeight="1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ht="9.75" customHeight="1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ht="9.75" customHeight="1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ht="9.75" customHeight="1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ht="9.75" customHeight="1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ht="9.75" customHeight="1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ht="9.75" customHeight="1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ht="9.75" customHeight="1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ht="9.75" customHeight="1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ht="9.75" customHeight="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ht="9.75" customHeight="1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ht="9.75" customHeight="1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ht="9.75" customHeight="1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ht="9.75" customHeight="1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ht="9.75" customHeight="1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ht="9.75" customHeight="1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ht="9.75" customHeight="1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ht="9.75" customHeight="1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ht="9.75" customHeight="1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ht="9.75" customHeight="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ht="9.75" customHeight="1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ht="9.75" customHeight="1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ht="9.75" customHeight="1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ht="9.75" customHeight="1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ht="9.75" customHeight="1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ht="9.75" customHeight="1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ht="9.75" customHeight="1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ht="9.75" customHeight="1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ht="9.75" customHeight="1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ht="9.75" customHeight="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ht="9.75" customHeight="1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ht="9.75" customHeight="1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ht="9.75" customHeight="1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ht="9.75" customHeight="1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ht="9.75" customHeight="1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ht="9.75" customHeight="1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ht="9.75" customHeight="1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ht="9.75" customHeight="1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ht="9.75" customHeight="1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ht="9.75" customHeight="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ht="9.75" customHeight="1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ht="9.75" customHeight="1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ht="9.75" customHeight="1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ht="9.75" customHeight="1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ht="9.75" customHeight="1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ht="9.75" customHeight="1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ht="9.75" customHeight="1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ht="9.75" customHeight="1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ht="9.75" customHeight="1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ht="9.75" customHeight="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ht="9.75" customHeight="1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ht="9.75" customHeight="1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ht="9.75" customHeight="1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ht="9.75" customHeight="1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ht="9.75" customHeight="1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ht="9.75" customHeight="1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ht="9.75" customHeight="1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ht="9.75" customHeight="1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ht="9.75" customHeight="1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ht="9.75" customHeight="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ht="9.75" customHeight="1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ht="9.75" customHeight="1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ht="9.75" customHeight="1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ht="9.75" customHeight="1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ht="9.75" customHeight="1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ht="9.75" customHeight="1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ht="9.75" customHeight="1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ht="9.75" customHeight="1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ht="9.75" customHeight="1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ht="9.75" customHeight="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ht="9.75" customHeight="1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ht="9.75" customHeight="1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ht="9.75" customHeight="1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ht="9.75" customHeight="1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ht="9.75" customHeight="1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ht="9.75" customHeight="1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ht="9.75" customHeight="1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ht="9.75" customHeight="1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ht="9.75" customHeight="1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ht="9.75" customHeight="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ht="9.75" customHeight="1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ht="9.75" customHeight="1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ht="9.75" customHeight="1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ht="9.75" customHeight="1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ht="9.75" customHeight="1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ht="9.75" customHeight="1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ht="9.75" customHeight="1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ht="9.75" customHeight="1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ht="9.75" customHeight="1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ht="9.75" customHeight="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ht="9.75" customHeight="1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ht="9.75" customHeight="1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ht="9.75" customHeight="1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ht="9.75" customHeight="1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ht="9.75" customHeight="1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ht="9.75" customHeight="1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ht="9.75" customHeight="1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ht="9.75" customHeight="1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ht="9.75" customHeight="1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ht="9.75" customHeight="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ht="9.75" customHeight="1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ht="9.75" customHeight="1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ht="9.75" customHeight="1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ht="9.75" customHeight="1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ht="9.75" customHeight="1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ht="9.75" customHeight="1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ht="9.75" customHeight="1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ht="9.75" customHeight="1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ht="9.75" customHeight="1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ht="9.75" customHeight="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ht="9.75" customHeight="1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ht="9.75" customHeight="1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ht="9.75" customHeight="1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ht="9.75" customHeight="1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ht="9.75" customHeight="1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ht="9.75" customHeight="1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ht="9.75" customHeight="1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ht="9.75" customHeight="1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ht="9.75" customHeight="1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ht="9.75" customHeight="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ht="9.75" customHeight="1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ht="9.75" customHeight="1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ht="9.75" customHeight="1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ht="9.75" customHeight="1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ht="9.75" customHeight="1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ht="9.75" customHeight="1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ht="9.75" customHeight="1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ht="9.75" customHeight="1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ht="9.75" customHeight="1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ht="9.75" customHeight="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ht="9.75" customHeight="1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ht="9.75" customHeight="1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ht="9.75" customHeight="1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ht="9.75" customHeight="1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ht="9.75" customHeight="1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ht="9.75" customHeight="1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ht="9.75" customHeight="1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ht="9.75" customHeight="1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ht="9.75" customHeight="1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ht="9.75" customHeight="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ht="9.75" customHeight="1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ht="9.75" customHeight="1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ht="9.75" customHeight="1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ht="9.75" customHeight="1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ht="9.75" customHeight="1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ht="9.75" customHeight="1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ht="9.75" customHeight="1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ht="9.75" customHeight="1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ht="9.75" customHeight="1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ht="9.75" customHeight="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ht="9.75" customHeight="1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ht="9.75" customHeight="1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ht="9.75" customHeight="1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ht="9.75" customHeight="1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ht="9.75" customHeight="1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ht="9.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ht="9.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ht="9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ht="9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ht="9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ht="9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ht="9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ht="9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ht="9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ht="9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ht="9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ht="9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ht="9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ht="9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ht="9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ht="9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ht="9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ht="9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ht="9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ht="9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ht="9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ht="9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ht="9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ht="9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ht="9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ht="9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ht="9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ht="9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ht="9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ht="9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ht="9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ht="9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ht="9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ht="9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ht="9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ht="9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ht="9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ht="9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ht="9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ht="9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ht="9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ht="9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ht="9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ht="9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ht="9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ht="9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ht="9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ht="9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ht="9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ht="9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ht="9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ht="9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ht="9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ht="9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ht="9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ht="9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ht="9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ht="9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ht="9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ht="9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ht="9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ht="9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ht="9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ht="9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ht="9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ht="9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ht="9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ht="9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ht="9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ht="9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ht="9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ht="9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ht="9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ht="9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ht="9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ht="9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ht="9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ht="9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ht="9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ht="9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ht="9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ht="9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ht="9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ht="9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ht="9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ht="9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ht="9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ht="9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ht="9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ht="9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ht="9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ht="9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ht="9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ht="9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ht="9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ht="9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ht="9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ht="9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ht="9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ht="9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ht="9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ht="9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ht="9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ht="9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ht="9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ht="9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ht="9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ht="9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ht="9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ht="9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ht="9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ht="9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ht="9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ht="9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ht="9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ht="9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ht="9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ht="9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ht="9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ht="9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ht="9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ht="9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ht="9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ht="9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ht="9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ht="9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ht="9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ht="9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ht="9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ht="9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ht="9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ht="9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ht="9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ht="9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ht="9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ht="9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ht="9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ht="9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ht="9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ht="9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ht="9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ht="9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ht="9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ht="9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ht="9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ht="9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ht="9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ht="9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ht="9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ht="9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ht="9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ht="9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ht="9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ht="9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ht="9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ht="9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ht="9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ht="9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ht="9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ht="9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ht="9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ht="9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ht="9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ht="9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ht="9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ht="9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ht="9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ht="9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ht="9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ht="9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ht="9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ht="9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ht="9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ht="9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ht="9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ht="9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ht="9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ht="9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ht="9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ht="9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ht="9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ht="9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ht="9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ht="9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ht="9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ht="9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ht="9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ht="9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ht="9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ht="9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ht="9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ht="9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ht="9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ht="9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ht="9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ht="9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ht="9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ht="9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ht="9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ht="9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ht="9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ht="9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ht="9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ht="9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ht="9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ht="9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ht="9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ht="9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ht="9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ht="9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ht="9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ht="9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ht="9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ht="9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ht="9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ht="9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ht="9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ht="9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ht="9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ht="9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ht="9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ht="9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ht="9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ht="9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ht="9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ht="9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ht="9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ht="9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ht="9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ht="9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ht="9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ht="9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ht="9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ht="9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ht="9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ht="9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ht="9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ht="9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ht="9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ht="9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ht="9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ht="9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ht="9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ht="9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ht="9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ht="9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ht="9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ht="9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ht="9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ht="9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ht="9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ht="9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ht="9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ht="9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ht="9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ht="9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ht="9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ht="9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ht="9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ht="9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ht="9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ht="9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ht="9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ht="9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ht="9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ht="9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ht="9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ht="9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ht="9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ht="9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ht="9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ht="9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ht="9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ht="9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ht="9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ht="9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ht="9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ht="9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ht="9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ht="9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ht="9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ht="9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ht="9.7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ht="9.7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ht="9.7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ht="9.7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ht="9.7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ht="9.7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ht="9.7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ht="9.7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ht="9.7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ht="9.7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ht="9.7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ht="9.7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ht="9.7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ht="9.7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ht="9.7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ht="9.7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ht="9.7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ht="9.7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ht="9.7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ht="9.7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ht="9.7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ht="9.7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ht="9.7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ht="9.7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ht="9.7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ht="9.7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ht="9.75" customHeight="1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ht="9.75" customHeight="1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ht="9.75" customHeight="1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ht="9.75" customHeight="1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ht="9.75" customHeight="1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ht="9.75" customHeight="1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ht="9.75" customHeight="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ht="9.75" customHeight="1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ht="9.75" customHeight="1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ht="9.75" customHeight="1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ht="9.75" customHeight="1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ht="9.75" customHeight="1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ht="9.75" customHeight="1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ht="9.75" customHeight="1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ht="9.75" customHeight="1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ht="9.75" customHeight="1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ht="9.75" customHeight="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ht="9.75" customHeight="1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ht="9.75" customHeight="1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ht="9.75" customHeight="1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ht="9.75" customHeight="1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ht="9.75" customHeight="1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ht="9.75" customHeight="1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ht="9.75" customHeight="1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ht="9.75" customHeight="1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ht="9.75" customHeight="1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ht="9.75" customHeight="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ht="9.75" customHeight="1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ht="9.75" customHeight="1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ht="9.75" customHeight="1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ht="9.75" customHeight="1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ht="9.75" customHeight="1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ht="9.75" customHeight="1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ht="9.75" customHeight="1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ht="9.75" customHeight="1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ht="9.75" customHeight="1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ht="9.75" customHeight="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ht="9.75" customHeight="1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ht="9.75" customHeight="1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ht="9.75" customHeight="1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ht="9.75" customHeight="1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ht="9.75" customHeight="1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ht="9.75" customHeight="1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ht="9.75" customHeight="1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ht="9.75" customHeight="1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ht="9.75" customHeight="1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ht="9.75" customHeight="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ht="9.75" customHeight="1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ht="9.75" customHeight="1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ht="9.75" customHeight="1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ht="9.75" customHeight="1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ht="9.75" customHeight="1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ht="9.75" customHeight="1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ht="9.75" customHeight="1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ht="9.75" customHeight="1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ht="9.75" customHeight="1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ht="9.75" customHeight="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ht="9.75" customHeight="1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ht="9.75" customHeight="1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ht="9.75" customHeight="1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ht="9.75" customHeight="1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ht="9.75" customHeight="1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ht="9.75" customHeight="1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ht="9.75" customHeight="1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ht="9.75" customHeight="1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ht="9.75" customHeight="1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ht="9.75" customHeight="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ht="9.75" customHeight="1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ht="9.75" customHeight="1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ht="9.75" customHeight="1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ht="9.75" customHeight="1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ht="9.75" customHeight="1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ht="9.75" customHeight="1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ht="9.75" customHeight="1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ht="9.75" customHeight="1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ht="9.75" customHeight="1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ht="9.75" customHeight="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ht="9.75" customHeight="1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ht="9.75" customHeight="1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ht="9.75" customHeight="1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ht="9.75" customHeight="1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ht="9.75" customHeight="1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ht="9.75" customHeight="1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ht="9.75" customHeight="1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ht="9.75" customHeight="1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ht="9.75" customHeight="1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ht="9.75" customHeight="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ht="9.75" customHeight="1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ht="9.75" customHeight="1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ht="9.75" customHeight="1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ht="9.75" customHeight="1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ht="9.75" customHeight="1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ht="9.75" customHeight="1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ht="9.75" customHeight="1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ht="9.75" customHeight="1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ht="9.75" customHeight="1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ht="9.75" customHeight="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ht="9.75" customHeight="1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ht="9.75" customHeight="1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ht="9.75" customHeight="1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ht="9.75" customHeight="1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ht="9.75" customHeight="1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ht="9.75" customHeight="1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ht="9.75" customHeight="1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ht="9.75" customHeight="1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ht="9.75" customHeight="1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ht="9.75" customHeight="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ht="9.75" customHeight="1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ht="9.75" customHeight="1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ht="9.75" customHeight="1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ht="9.75" customHeight="1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ht="9.75" customHeight="1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ht="9.75" customHeight="1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ht="9.75" customHeight="1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ht="9.75" customHeight="1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ht="9.75" customHeight="1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ht="9.75" customHeight="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ht="9.75" customHeight="1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ht="9.75" customHeight="1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ht="9.75" customHeight="1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ht="9.75" customHeight="1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ht="9.75" customHeight="1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ht="9.75" customHeight="1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ht="9.75" customHeight="1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ht="9.75" customHeight="1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ht="9.75" customHeight="1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ht="9.75" customHeight="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ht="9.75" customHeight="1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ht="9.75" customHeight="1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ht="9.75" customHeight="1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ht="9.75" customHeight="1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ht="9.75" customHeight="1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ht="9.75" customHeight="1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ht="9.75" customHeight="1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ht="9.75" customHeight="1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ht="9.75" customHeight="1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ht="9.75" customHeight="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ht="9.75" customHeight="1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ht="9.75" customHeight="1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ht="9.75" customHeight="1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ht="9.75" customHeight="1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ht="9.75" customHeight="1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ht="9.75" customHeight="1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ht="9.75" customHeight="1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ht="9.75" customHeight="1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ht="9.75" customHeight="1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ht="9.75" customHeight="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ht="9.75" customHeight="1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ht="9.75" customHeight="1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ht="9.75" customHeight="1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ht="9.75" customHeight="1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ht="9.75" customHeight="1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ht="9.75" customHeight="1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ht="9.75" customHeight="1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ht="9.75" customHeight="1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ht="9.75" customHeight="1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ht="9.75" customHeight="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ht="9.75" customHeight="1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ht="9.75" customHeight="1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ht="9.75" customHeight="1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ht="9.75" customHeight="1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ht="9.75" customHeight="1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ht="9.75" customHeight="1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ht="9.75" customHeight="1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ht="9.75" customHeight="1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ht="9.75" customHeight="1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ht="9.75" customHeight="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ht="9.75" customHeight="1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ht="9.75" customHeight="1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ht="9.75" customHeight="1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ht="9.75" customHeight="1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ht="9.75" customHeight="1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ht="9.75" customHeight="1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ht="9.75" customHeight="1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ht="9.75" customHeight="1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ht="9.75" customHeight="1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ht="9.75" customHeight="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ht="9.75" customHeight="1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ht="9.75" customHeight="1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ht="9.75" customHeight="1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ht="9.75" customHeight="1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ht="9.75" customHeight="1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ht="9.75" customHeight="1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ht="9.75" customHeight="1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ht="9.75" customHeight="1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ht="9.75" customHeight="1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ht="9.75" customHeight="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ht="9.75" customHeight="1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ht="9.75" customHeight="1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ht="9.75" customHeight="1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ht="9.75" customHeight="1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ht="9.75" customHeight="1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ht="9.75" customHeight="1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ht="9.75" customHeight="1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ht="9.75" customHeight="1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ht="9.75" customHeight="1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ht="9.75" customHeight="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ht="9.75" customHeight="1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ht="9.75" customHeight="1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ht="9.75" customHeight="1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ht="9.75" customHeight="1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ht="9.75" customHeight="1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ht="9.75" customHeight="1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ht="9.75" customHeight="1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ht="9.75" customHeight="1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ht="9.75" customHeight="1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ht="9.75" customHeight="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ht="9.75" customHeight="1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ht="9.75" customHeight="1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ht="9.75" customHeight="1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ht="9.75" customHeight="1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ht="9.75" customHeight="1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ht="9.75" customHeight="1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ht="9.75" customHeight="1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ht="9.75" customHeight="1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ht="9.75" customHeight="1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ht="9.75" customHeight="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ht="9.75" customHeight="1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ht="9.75" customHeight="1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ht="9.75" customHeight="1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ht="9.75" customHeight="1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ht="9.75" customHeight="1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ht="9.75" customHeight="1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ht="9.75" customHeight="1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ht="9.75" customHeight="1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ht="9.75" customHeight="1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ht="9.75" customHeight="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ht="9.75" customHeight="1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ht="9.75" customHeight="1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ht="9.75" customHeight="1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ht="9.75" customHeight="1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ht="9.75" customHeight="1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ht="9.75" customHeight="1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ht="9.75" customHeight="1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ht="9.75" customHeight="1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ht="9.75" customHeight="1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ht="9.75" customHeight="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ht="9.75" customHeight="1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ht="9.75" customHeight="1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ht="9.75" customHeight="1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ht="9.75" customHeight="1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ht="9.75" customHeight="1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ht="9.75" customHeight="1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ht="9.75" customHeight="1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ht="9.75" customHeight="1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ht="9.75" customHeight="1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ht="9.75" customHeight="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ht="9.75" customHeight="1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ht="9.75" customHeight="1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ht="9.75" customHeight="1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ht="9.75" customHeight="1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ht="9.75" customHeight="1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ht="9.75" customHeight="1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ht="9.75" customHeight="1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ht="9.75" customHeight="1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ht="9.75" customHeight="1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ht="9.75" customHeight="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ht="9.75" customHeight="1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ht="9.75" customHeight="1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ht="9.75" customHeight="1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ht="9.75" customHeight="1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ht="9.75" customHeight="1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ht="9.75" customHeight="1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ht="9.75" customHeight="1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ht="9.75" customHeight="1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ht="9.75" customHeight="1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ht="9.75" customHeight="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ht="9.75" customHeight="1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ht="9.75" customHeight="1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ht="9.75" customHeight="1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ht="9.75" customHeight="1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ht="9.75" customHeight="1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ht="9.75" customHeight="1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ht="9.75" customHeight="1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ht="9.75" customHeight="1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ht="9.75" customHeight="1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ht="9.75" customHeight="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ht="9.75" customHeight="1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ht="9.75" customHeight="1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ht="9.75" customHeight="1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ht="9.75" customHeight="1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ht="9.75" customHeight="1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ht="9.75" customHeight="1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ht="9.75" customHeight="1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ht="9.75" customHeight="1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ht="9.75" customHeight="1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ht="9.75" customHeight="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ht="9.75" customHeight="1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ht="9.75" customHeight="1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ht="9.75" customHeight="1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ht="9.75" customHeight="1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ht="9.75" customHeight="1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ht="9.75" customHeight="1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ht="9.75" customHeight="1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ht="9.75" customHeight="1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ht="9.75" customHeight="1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ht="9.75" customHeight="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ht="9.75" customHeight="1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ht="9.75" customHeight="1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ht="9.75" customHeight="1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ht="9.75" customHeight="1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ht="9.75" customHeight="1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ht="9.75" customHeight="1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ht="9.75" customHeight="1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ht="9.75" customHeight="1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ht="9.75" customHeight="1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ht="9.75" customHeight="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ht="9.75" customHeight="1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ht="9.75" customHeight="1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ht="9.75" customHeight="1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ht="9.75" customHeight="1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ht="9.75" customHeight="1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ht="9.75" customHeight="1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ht="9.75" customHeight="1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ht="9.75" customHeight="1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ht="9.75" customHeight="1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ht="9.75" customHeight="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ht="9.75" customHeight="1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ht="9.75" customHeight="1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ht="9.75" customHeight="1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ht="9.75" customHeight="1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ht="9.75" customHeight="1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ht="9.75" customHeight="1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ht="9.75" customHeight="1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ht="9.75" customHeight="1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ht="9.75" customHeight="1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ht="9.75" customHeight="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ht="9.75" customHeight="1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ht="9.75" customHeight="1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ht="9.75" customHeight="1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ht="9.75" customHeight="1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ht="9.75" customHeight="1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ht="9.75" customHeight="1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ht="9.75" customHeight="1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ht="9.75" customHeight="1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ht="9.75" customHeight="1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ht="9.75" customHeight="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ht="9.75" customHeight="1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ht="9.75" customHeight="1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ht="9.75" customHeight="1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ht="9.75" customHeight="1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ht="9.75" customHeight="1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ht="9.75" customHeight="1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ht="9.75" customHeight="1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ht="9.75" customHeight="1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ht="9.75" customHeight="1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ht="9.75" customHeight="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ht="9.75" customHeight="1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ht="9.75" customHeight="1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ht="9.75" customHeight="1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ht="9.75" customHeight="1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ht="9.75" customHeight="1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ht="9.75" customHeight="1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ht="9.75" customHeight="1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ht="9.75" customHeight="1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ht="9.75" customHeight="1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ht="9.75" customHeight="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ht="9.75" customHeight="1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ht="9.75" customHeight="1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ht="9.75" customHeight="1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ht="9.75" customHeight="1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ht="9.75" customHeight="1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ht="9.75" customHeight="1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ht="9.75" customHeight="1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ht="9.75" customHeight="1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 ht="9.75" customHeight="1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mergeCells count="198">
    <mergeCell ref="J43:M43"/>
    <mergeCell ref="J44:M44"/>
    <mergeCell ref="J45:M45"/>
    <mergeCell ref="J46:M46"/>
    <mergeCell ref="J47:M47"/>
    <mergeCell ref="J48:M48"/>
    <mergeCell ref="J49:M49"/>
    <mergeCell ref="J50:M50"/>
    <mergeCell ref="J51:M51"/>
    <mergeCell ref="J52:M52"/>
    <mergeCell ref="J53:M53"/>
    <mergeCell ref="J54:M54"/>
    <mergeCell ref="J55:M55"/>
    <mergeCell ref="J56:M56"/>
    <mergeCell ref="J57:M57"/>
    <mergeCell ref="J58:M58"/>
    <mergeCell ref="J59:M59"/>
    <mergeCell ref="J60:M60"/>
    <mergeCell ref="J61:M61"/>
    <mergeCell ref="J62:M62"/>
    <mergeCell ref="J63:M63"/>
    <mergeCell ref="J64:M64"/>
    <mergeCell ref="J65:M65"/>
    <mergeCell ref="J66:M66"/>
    <mergeCell ref="J67:M67"/>
    <mergeCell ref="J68:M68"/>
    <mergeCell ref="J69:M69"/>
    <mergeCell ref="J70:M70"/>
    <mergeCell ref="J71:M71"/>
    <mergeCell ref="J72:M72"/>
    <mergeCell ref="J73:M73"/>
    <mergeCell ref="J74:M74"/>
    <mergeCell ref="J75:M75"/>
    <mergeCell ref="J76:M76"/>
    <mergeCell ref="J77:M77"/>
    <mergeCell ref="J85:M85"/>
    <mergeCell ref="J86:M86"/>
    <mergeCell ref="J87:M87"/>
    <mergeCell ref="J88:M88"/>
    <mergeCell ref="J89:M89"/>
    <mergeCell ref="J92:P92"/>
    <mergeCell ref="M93:N93"/>
    <mergeCell ref="O93:P93"/>
    <mergeCell ref="J78:M78"/>
    <mergeCell ref="J79:M79"/>
    <mergeCell ref="J80:M80"/>
    <mergeCell ref="J81:M81"/>
    <mergeCell ref="J82:M82"/>
    <mergeCell ref="J83:M83"/>
    <mergeCell ref="J84:M84"/>
    <mergeCell ref="A2:M2"/>
    <mergeCell ref="K3:L3"/>
    <mergeCell ref="F5:G5"/>
    <mergeCell ref="J5:K5"/>
    <mergeCell ref="B6:D6"/>
    <mergeCell ref="E6:H6"/>
    <mergeCell ref="I6:M6"/>
    <mergeCell ref="B7:C7"/>
    <mergeCell ref="D7:E7"/>
    <mergeCell ref="F7:G7"/>
    <mergeCell ref="H7:I7"/>
    <mergeCell ref="J7:K7"/>
    <mergeCell ref="A9:D9"/>
    <mergeCell ref="E9:H9"/>
    <mergeCell ref="I10:K10"/>
    <mergeCell ref="I11:K11"/>
    <mergeCell ref="I15:K15"/>
    <mergeCell ref="A17:D17"/>
    <mergeCell ref="I19:K19"/>
    <mergeCell ref="I20:K20"/>
    <mergeCell ref="I21:K21"/>
    <mergeCell ref="I22:K22"/>
    <mergeCell ref="I23:K23"/>
    <mergeCell ref="I24:K24"/>
    <mergeCell ref="I25:K25"/>
    <mergeCell ref="A26:F26"/>
    <mergeCell ref="J26:M26"/>
    <mergeCell ref="J27:M27"/>
    <mergeCell ref="A27:F27"/>
    <mergeCell ref="A28:F28"/>
    <mergeCell ref="A29:F29"/>
    <mergeCell ref="A30:F30"/>
    <mergeCell ref="A31:F31"/>
    <mergeCell ref="A32:F32"/>
    <mergeCell ref="A33:F33"/>
    <mergeCell ref="J28:M28"/>
    <mergeCell ref="J30:M30"/>
    <mergeCell ref="J31:M31"/>
    <mergeCell ref="J32:M32"/>
    <mergeCell ref="J33:M33"/>
    <mergeCell ref="J34:M34"/>
    <mergeCell ref="J35:M35"/>
    <mergeCell ref="J36:M36"/>
    <mergeCell ref="J37:M37"/>
    <mergeCell ref="J38:M38"/>
    <mergeCell ref="J39:M39"/>
    <mergeCell ref="J40:M40"/>
    <mergeCell ref="J41:M41"/>
    <mergeCell ref="J42:M42"/>
    <mergeCell ref="A76:F76"/>
    <mergeCell ref="A77:F77"/>
    <mergeCell ref="A78:F78"/>
    <mergeCell ref="A79:F79"/>
    <mergeCell ref="A80:F80"/>
    <mergeCell ref="A81:F81"/>
    <mergeCell ref="A82:F82"/>
    <mergeCell ref="A83:F83"/>
    <mergeCell ref="A84:F84"/>
    <mergeCell ref="A85:F85"/>
    <mergeCell ref="A86:F86"/>
    <mergeCell ref="A87:F87"/>
    <mergeCell ref="A88:F88"/>
    <mergeCell ref="A89:F89"/>
    <mergeCell ref="B94:C94"/>
    <mergeCell ref="B95:C95"/>
    <mergeCell ref="B96:C96"/>
    <mergeCell ref="A91:M91"/>
    <mergeCell ref="A92:G92"/>
    <mergeCell ref="B93:C93"/>
    <mergeCell ref="D93:E93"/>
    <mergeCell ref="F93:G93"/>
    <mergeCell ref="K93:L93"/>
    <mergeCell ref="K94:L94"/>
    <mergeCell ref="B99:C99"/>
    <mergeCell ref="B100:C100"/>
    <mergeCell ref="B101:C101"/>
    <mergeCell ref="B102:C102"/>
    <mergeCell ref="B103:C103"/>
    <mergeCell ref="K95:L95"/>
    <mergeCell ref="K96:L96"/>
    <mergeCell ref="B97:C97"/>
    <mergeCell ref="K97:L97"/>
    <mergeCell ref="B98:C98"/>
    <mergeCell ref="K98:L98"/>
    <mergeCell ref="K99:L99"/>
    <mergeCell ref="L105:P105"/>
    <mergeCell ref="L106:N106"/>
    <mergeCell ref="O106:P106"/>
    <mergeCell ref="L107:N107"/>
    <mergeCell ref="O107:P107"/>
    <mergeCell ref="J108:N108"/>
    <mergeCell ref="O108:P108"/>
    <mergeCell ref="C107:E107"/>
    <mergeCell ref="F107:G107"/>
    <mergeCell ref="A108:E108"/>
    <mergeCell ref="F108:G108"/>
    <mergeCell ref="F116:G116"/>
    <mergeCell ref="K102:L102"/>
    <mergeCell ref="K103:L103"/>
    <mergeCell ref="A104:G104"/>
    <mergeCell ref="J104:P104"/>
    <mergeCell ref="C105:G105"/>
    <mergeCell ref="C106:E106"/>
    <mergeCell ref="F106:G106"/>
    <mergeCell ref="A34:F34"/>
    <mergeCell ref="A35:F35"/>
    <mergeCell ref="A36:F36"/>
    <mergeCell ref="A37:F37"/>
    <mergeCell ref="A38:F38"/>
    <mergeCell ref="A39:F39"/>
    <mergeCell ref="A40:F40"/>
    <mergeCell ref="A41:F41"/>
    <mergeCell ref="A42:F42"/>
    <mergeCell ref="A43:F43"/>
    <mergeCell ref="A44:F44"/>
    <mergeCell ref="A45:F45"/>
    <mergeCell ref="A46:F46"/>
    <mergeCell ref="A47:F47"/>
    <mergeCell ref="A48:F48"/>
    <mergeCell ref="A49:F49"/>
    <mergeCell ref="A50:F50"/>
    <mergeCell ref="A51:F51"/>
    <mergeCell ref="A52:F52"/>
    <mergeCell ref="A53:F53"/>
    <mergeCell ref="A54:F54"/>
    <mergeCell ref="A55:F55"/>
    <mergeCell ref="A56:F56"/>
    <mergeCell ref="A57:F57"/>
    <mergeCell ref="A58:F58"/>
    <mergeCell ref="A59:F59"/>
    <mergeCell ref="A60:F60"/>
    <mergeCell ref="A61:F61"/>
    <mergeCell ref="A62:F62"/>
    <mergeCell ref="A63:F63"/>
    <mergeCell ref="A64:F64"/>
    <mergeCell ref="A65:F65"/>
    <mergeCell ref="A66:F66"/>
    <mergeCell ref="A67:F67"/>
    <mergeCell ref="A68:F68"/>
    <mergeCell ref="A69:F69"/>
    <mergeCell ref="A70:F70"/>
    <mergeCell ref="A71:F71"/>
    <mergeCell ref="A72:F72"/>
    <mergeCell ref="A73:F73"/>
    <mergeCell ref="A74:F74"/>
    <mergeCell ref="A75:F75"/>
    <mergeCell ref="K100:L100"/>
    <mergeCell ref="K101:L101"/>
  </mergeCells>
  <conditionalFormatting sqref="B105:B106">
    <cfRule type="cellIs" dxfId="0" priority="1" stopIfTrue="1" operator="greaterThan">
      <formula>$E$106</formula>
    </cfRule>
  </conditionalFormatting>
  <conditionalFormatting sqref="B107">
    <cfRule type="cellIs" dxfId="1" priority="2" stopIfTrue="1" operator="greaterThanOrEqual">
      <formula>1</formula>
    </cfRule>
  </conditionalFormatting>
  <conditionalFormatting sqref="K105:K106">
    <cfRule type="cellIs" dxfId="0" priority="3" stopIfTrue="1" operator="greaterThan">
      <formula>$E$106</formula>
    </cfRule>
  </conditionalFormatting>
  <conditionalFormatting sqref="K107">
    <cfRule type="cellIs" dxfId="1" priority="4" stopIfTrue="1" operator="greaterThanOrEqual">
      <formula>1</formula>
    </cfRule>
  </conditionalFormatting>
  <conditionalFormatting sqref="L16">
    <cfRule type="cellIs" dxfId="2" priority="5" stopIfTrue="1" operator="greaterThan">
      <formula>15</formula>
    </cfRule>
  </conditionalFormatting>
  <printOptions horizontalCentered="1"/>
  <pageMargins bottom="0.0" footer="0.0" header="0.0" left="0.2" right="0.2" top="0.5"/>
  <pageSetup paperSize="9" orientation="portrait"/>
  <headerFooter>
    <oddFooter>&amp;RAQL REPORT BMB</oddFooter>
  </headerFooter>
  <rowBreaks count="1" manualBreakCount="1">
    <brk id="56" man="1"/>
  </row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6411"/>
    <pageSetUpPr/>
  </sheetPr>
  <sheetViews>
    <sheetView workbookViewId="0"/>
  </sheetViews>
  <sheetFormatPr customHeight="1" defaultColWidth="12.63" defaultRowHeight="15.0"/>
  <cols>
    <col customWidth="1" min="1" max="11" width="14.75"/>
    <col customWidth="1" min="12" max="12" width="11.75"/>
    <col customWidth="1" min="13" max="14" width="14.75"/>
    <col customWidth="1" min="15" max="15" width="20.63"/>
    <col customWidth="1" min="16" max="16" width="5.5"/>
    <col customWidth="1" min="17" max="17" width="16.25"/>
    <col customWidth="1" min="18" max="18" width="17.25"/>
    <col customWidth="1" min="19" max="19" width="14.75"/>
    <col customWidth="1" min="20" max="26" width="8.75"/>
  </cols>
  <sheetData>
    <row r="1" ht="57.0" customHeight="1">
      <c r="A1" s="2" t="s">
        <v>1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10"/>
      <c r="U1" s="10"/>
      <c r="V1" s="10"/>
      <c r="W1" s="10"/>
      <c r="X1" s="10"/>
      <c r="Y1" s="10"/>
      <c r="Z1" s="10"/>
    </row>
    <row r="2" ht="42.75" customHeight="1">
      <c r="A2" s="11" t="s">
        <v>3</v>
      </c>
      <c r="B2" s="12"/>
      <c r="C2" s="17" t="str">
        <f>'Main Report (2)'!B4</f>
        <v/>
      </c>
      <c r="D2" s="15"/>
      <c r="E2" s="19" t="s">
        <v>5</v>
      </c>
      <c r="F2" s="12"/>
      <c r="G2" s="17" t="str">
        <f>'Main Report (2)'!H4</f>
        <v/>
      </c>
      <c r="H2" s="14"/>
      <c r="I2" s="14"/>
      <c r="J2" s="14"/>
      <c r="K2" s="15"/>
      <c r="L2" s="20" t="s">
        <v>6</v>
      </c>
      <c r="M2" s="17" t="str">
        <f>'Main Report (2)'!D4</f>
        <v/>
      </c>
      <c r="N2" s="14"/>
      <c r="O2" s="14"/>
      <c r="P2" s="14"/>
      <c r="Q2" s="14"/>
      <c r="R2" s="14"/>
      <c r="S2" s="21"/>
      <c r="T2" s="10"/>
      <c r="U2" s="10"/>
      <c r="V2" s="10"/>
      <c r="W2" s="10"/>
      <c r="X2" s="10"/>
      <c r="Y2" s="10"/>
      <c r="Z2" s="10"/>
    </row>
    <row r="3" ht="42.75" customHeight="1">
      <c r="A3" s="25" t="s">
        <v>7</v>
      </c>
      <c r="B3" s="26"/>
      <c r="C3" s="28">
        <f>'Main Report (2)'!B5</f>
        <v>20000</v>
      </c>
      <c r="D3" s="24"/>
      <c r="E3" s="31" t="s">
        <v>9</v>
      </c>
      <c r="F3" s="33"/>
      <c r="G3" s="26">
        <f>'Main Report (2)'!E5</f>
        <v>315</v>
      </c>
      <c r="H3" s="36"/>
      <c r="I3" s="31" t="s">
        <v>10</v>
      </c>
      <c r="J3" s="38" t="str">
        <f>'Main Report (2)'!J5</f>
        <v/>
      </c>
      <c r="K3" s="23"/>
      <c r="L3" s="23"/>
      <c r="M3" s="23"/>
      <c r="N3" s="24"/>
      <c r="O3" s="31" t="s">
        <v>12</v>
      </c>
      <c r="P3" s="26"/>
      <c r="Q3" s="43" t="str">
        <f>'Main Report (2)'!H5</f>
        <v/>
      </c>
      <c r="R3" s="45" t="s">
        <v>14</v>
      </c>
      <c r="S3" s="47" t="str">
        <f>'Main Report (2)'!M4</f>
        <v/>
      </c>
      <c r="T3" s="10"/>
      <c r="U3" s="10"/>
      <c r="V3" s="10"/>
      <c r="W3" s="10"/>
      <c r="X3" s="10"/>
      <c r="Y3" s="10"/>
      <c r="Z3" s="10"/>
    </row>
    <row r="4" ht="15.0" customHeight="1">
      <c r="A4" s="58"/>
      <c r="B4" s="53"/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3"/>
      <c r="O4" s="53"/>
      <c r="P4" s="53"/>
      <c r="Q4" s="53"/>
      <c r="R4" s="53"/>
      <c r="S4" s="60"/>
      <c r="T4" s="10"/>
      <c r="U4" s="10"/>
      <c r="V4" s="10"/>
      <c r="W4" s="10"/>
      <c r="X4" s="10"/>
      <c r="Y4" s="10"/>
      <c r="Z4" s="10"/>
    </row>
    <row r="5" ht="15.0" customHeight="1">
      <c r="A5" s="54"/>
      <c r="S5" s="48"/>
      <c r="T5" s="10"/>
      <c r="U5" s="10"/>
      <c r="V5" s="10"/>
      <c r="W5" s="10"/>
      <c r="X5" s="10"/>
      <c r="Y5" s="10"/>
      <c r="Z5" s="10"/>
    </row>
    <row r="6" ht="15.0" customHeight="1">
      <c r="A6" s="54"/>
      <c r="S6" s="48"/>
      <c r="T6" s="10"/>
      <c r="U6" s="10"/>
      <c r="V6" s="10"/>
      <c r="W6" s="10"/>
      <c r="X6" s="10"/>
      <c r="Y6" s="10"/>
      <c r="Z6" s="10"/>
    </row>
    <row r="7" ht="15.0" customHeight="1">
      <c r="A7" s="54"/>
      <c r="S7" s="48"/>
      <c r="T7" s="10"/>
      <c r="U7" s="10"/>
      <c r="V7" s="10"/>
      <c r="W7" s="10"/>
      <c r="X7" s="10"/>
      <c r="Y7" s="10"/>
      <c r="Z7" s="10"/>
    </row>
    <row r="8" ht="15.0" customHeight="1">
      <c r="A8" s="54"/>
      <c r="S8" s="48"/>
      <c r="T8" s="10"/>
      <c r="U8" s="10"/>
      <c r="V8" s="10"/>
      <c r="W8" s="10"/>
      <c r="X8" s="10"/>
      <c r="Y8" s="10"/>
      <c r="Z8" s="10"/>
    </row>
    <row r="9" ht="15.0" customHeight="1">
      <c r="A9" s="54"/>
      <c r="S9" s="48"/>
      <c r="T9" s="10"/>
      <c r="U9" s="10"/>
      <c r="V9" s="10"/>
      <c r="W9" s="10"/>
      <c r="X9" s="10"/>
      <c r="Y9" s="10"/>
      <c r="Z9" s="10"/>
    </row>
    <row r="10" ht="15.0" customHeight="1">
      <c r="A10" s="54"/>
      <c r="S10" s="48"/>
      <c r="T10" s="10"/>
      <c r="U10" s="10"/>
      <c r="V10" s="10"/>
      <c r="W10" s="10"/>
      <c r="X10" s="10"/>
      <c r="Y10" s="10"/>
      <c r="Z10" s="10"/>
    </row>
    <row r="11" ht="15.0" customHeight="1">
      <c r="A11" s="54"/>
      <c r="S11" s="48"/>
      <c r="T11" s="10"/>
      <c r="U11" s="10"/>
      <c r="V11" s="10"/>
      <c r="W11" s="10"/>
      <c r="X11" s="10"/>
      <c r="Y11" s="10"/>
      <c r="Z11" s="10"/>
    </row>
    <row r="12" ht="15.0" customHeight="1">
      <c r="A12" s="54"/>
      <c r="S12" s="48"/>
      <c r="T12" s="10"/>
      <c r="U12" s="10"/>
      <c r="V12" s="10"/>
      <c r="W12" s="10"/>
      <c r="X12" s="10"/>
      <c r="Y12" s="10"/>
      <c r="Z12" s="10"/>
    </row>
    <row r="13" ht="15.0" customHeight="1">
      <c r="A13" s="54"/>
      <c r="S13" s="48"/>
      <c r="T13" s="10"/>
      <c r="U13" s="10"/>
      <c r="V13" s="10"/>
      <c r="W13" s="10"/>
      <c r="X13" s="10"/>
      <c r="Y13" s="10"/>
      <c r="Z13" s="10"/>
    </row>
    <row r="14" ht="15.0" customHeight="1">
      <c r="A14" s="54"/>
      <c r="S14" s="48"/>
      <c r="T14" s="10"/>
      <c r="U14" s="10"/>
      <c r="V14" s="10"/>
      <c r="W14" s="10"/>
      <c r="X14" s="10"/>
      <c r="Y14" s="10"/>
      <c r="Z14" s="10"/>
    </row>
    <row r="15" ht="15.0" customHeight="1">
      <c r="A15" s="54"/>
      <c r="S15" s="48"/>
      <c r="T15" s="10"/>
      <c r="U15" s="10"/>
      <c r="V15" s="10"/>
      <c r="W15" s="10"/>
      <c r="X15" s="10"/>
      <c r="Y15" s="10"/>
      <c r="Z15" s="10"/>
    </row>
    <row r="16" ht="15.0" customHeight="1">
      <c r="A16" s="54"/>
      <c r="S16" s="48"/>
      <c r="T16" s="10"/>
      <c r="U16" s="10"/>
      <c r="V16" s="10"/>
      <c r="W16" s="10"/>
      <c r="X16" s="10"/>
      <c r="Y16" s="10"/>
      <c r="Z16" s="10"/>
    </row>
    <row r="17" ht="15.0" customHeight="1">
      <c r="A17" s="54"/>
      <c r="S17" s="48"/>
      <c r="T17" s="10"/>
      <c r="U17" s="10"/>
      <c r="V17" s="10"/>
      <c r="W17" s="10"/>
      <c r="X17" s="10"/>
      <c r="Y17" s="10"/>
      <c r="Z17" s="10"/>
    </row>
    <row r="18" ht="15.0" customHeight="1">
      <c r="A18" s="54"/>
      <c r="S18" s="48"/>
      <c r="T18" s="10"/>
      <c r="U18" s="10"/>
      <c r="V18" s="10"/>
      <c r="W18" s="10"/>
      <c r="X18" s="10"/>
      <c r="Y18" s="10"/>
      <c r="Z18" s="10"/>
    </row>
    <row r="19" ht="15.0" customHeight="1">
      <c r="A19" s="54"/>
      <c r="S19" s="48"/>
      <c r="T19" s="10"/>
      <c r="U19" s="10"/>
      <c r="V19" s="10"/>
      <c r="W19" s="10"/>
      <c r="X19" s="10"/>
      <c r="Y19" s="10"/>
      <c r="Z19" s="10"/>
    </row>
    <row r="20" ht="15.0" customHeight="1">
      <c r="A20" s="54"/>
      <c r="S20" s="48"/>
      <c r="T20" s="10"/>
      <c r="U20" s="10"/>
      <c r="V20" s="10"/>
      <c r="W20" s="10"/>
      <c r="X20" s="10"/>
      <c r="Y20" s="10"/>
      <c r="Z20" s="10"/>
    </row>
    <row r="21" ht="15.0" customHeight="1">
      <c r="A21" s="54"/>
      <c r="S21" s="48"/>
      <c r="T21" s="10"/>
      <c r="U21" s="10"/>
      <c r="V21" s="10"/>
      <c r="W21" s="10"/>
      <c r="X21" s="10"/>
      <c r="Y21" s="10"/>
      <c r="Z21" s="10"/>
    </row>
    <row r="22" ht="15.0" customHeight="1">
      <c r="A22" s="54"/>
      <c r="S22" s="48"/>
      <c r="T22" s="10"/>
      <c r="U22" s="10"/>
      <c r="V22" s="10"/>
      <c r="W22" s="10"/>
      <c r="X22" s="10"/>
      <c r="Y22" s="10"/>
      <c r="Z22" s="10"/>
    </row>
    <row r="23" ht="15.0" customHeight="1">
      <c r="A23" s="54"/>
      <c r="S23" s="48"/>
      <c r="T23" s="10"/>
      <c r="U23" s="10"/>
      <c r="V23" s="10"/>
      <c r="W23" s="10"/>
      <c r="X23" s="10"/>
      <c r="Y23" s="10"/>
      <c r="Z23" s="10"/>
    </row>
    <row r="24" ht="15.0" customHeight="1">
      <c r="A24" s="54"/>
      <c r="S24" s="48"/>
      <c r="T24" s="10"/>
      <c r="U24" s="10"/>
      <c r="V24" s="10"/>
      <c r="W24" s="10"/>
      <c r="X24" s="10"/>
      <c r="Y24" s="10"/>
      <c r="Z24" s="10"/>
    </row>
    <row r="25" ht="15.0" customHeight="1">
      <c r="A25" s="54"/>
      <c r="S25" s="48"/>
      <c r="T25" s="10"/>
      <c r="U25" s="10"/>
      <c r="V25" s="10"/>
      <c r="W25" s="10"/>
      <c r="X25" s="10"/>
      <c r="Y25" s="10"/>
      <c r="Z25" s="10"/>
    </row>
    <row r="26" ht="15.0" customHeight="1">
      <c r="A26" s="54"/>
      <c r="S26" s="48"/>
      <c r="T26" s="10"/>
      <c r="U26" s="10"/>
      <c r="V26" s="10"/>
      <c r="W26" s="10"/>
      <c r="X26" s="10"/>
      <c r="Y26" s="10"/>
      <c r="Z26" s="10"/>
    </row>
    <row r="27" ht="15.0" customHeight="1">
      <c r="A27" s="54"/>
      <c r="S27" s="48"/>
      <c r="T27" s="10"/>
      <c r="U27" s="10"/>
      <c r="V27" s="10"/>
      <c r="W27" s="10"/>
      <c r="X27" s="10"/>
      <c r="Y27" s="10"/>
      <c r="Z27" s="10"/>
    </row>
    <row r="28" ht="15.0" customHeight="1">
      <c r="A28" s="54"/>
      <c r="S28" s="48"/>
      <c r="T28" s="10"/>
      <c r="U28" s="10"/>
      <c r="V28" s="10"/>
      <c r="W28" s="10"/>
      <c r="X28" s="10"/>
      <c r="Y28" s="10"/>
      <c r="Z28" s="10"/>
    </row>
    <row r="29" ht="15.0" customHeight="1">
      <c r="A29" s="54"/>
      <c r="S29" s="48"/>
      <c r="T29" s="10"/>
      <c r="U29" s="10"/>
      <c r="V29" s="10"/>
      <c r="W29" s="10"/>
      <c r="X29" s="10"/>
      <c r="Y29" s="10"/>
      <c r="Z29" s="10"/>
    </row>
    <row r="30" ht="15.0" customHeight="1">
      <c r="A30" s="54"/>
      <c r="S30" s="48"/>
      <c r="T30" s="10"/>
      <c r="U30" s="10"/>
      <c r="V30" s="10"/>
      <c r="W30" s="10"/>
      <c r="X30" s="10"/>
      <c r="Y30" s="10"/>
      <c r="Z30" s="10"/>
    </row>
    <row r="31" ht="15.0" customHeight="1">
      <c r="A31" s="54"/>
      <c r="S31" s="48"/>
      <c r="T31" s="10"/>
      <c r="U31" s="10"/>
      <c r="V31" s="10"/>
      <c r="W31" s="10"/>
      <c r="X31" s="10"/>
      <c r="Y31" s="10"/>
      <c r="Z31" s="10"/>
    </row>
    <row r="32" ht="15.0" customHeight="1">
      <c r="A32" s="54"/>
      <c r="S32" s="48"/>
      <c r="T32" s="10"/>
      <c r="U32" s="10"/>
      <c r="V32" s="10"/>
      <c r="W32" s="10"/>
      <c r="X32" s="10"/>
      <c r="Y32" s="10"/>
      <c r="Z32" s="10"/>
    </row>
    <row r="33" ht="15.0" customHeight="1">
      <c r="A33" s="54"/>
      <c r="S33" s="48"/>
      <c r="T33" s="10"/>
      <c r="U33" s="10"/>
      <c r="V33" s="10"/>
      <c r="W33" s="10"/>
      <c r="X33" s="10"/>
      <c r="Y33" s="10"/>
      <c r="Z33" s="10"/>
    </row>
    <row r="34" ht="15.0" customHeight="1">
      <c r="A34" s="54"/>
      <c r="S34" s="48"/>
      <c r="T34" s="10"/>
      <c r="U34" s="10"/>
      <c r="V34" s="10"/>
      <c r="W34" s="10"/>
      <c r="X34" s="10"/>
      <c r="Y34" s="10"/>
      <c r="Z34" s="10"/>
    </row>
    <row r="35" ht="15.0" customHeight="1">
      <c r="A35" s="54"/>
      <c r="S35" s="48"/>
      <c r="T35" s="10"/>
      <c r="U35" s="10"/>
      <c r="V35" s="10"/>
      <c r="W35" s="10"/>
      <c r="X35" s="10"/>
      <c r="Y35" s="10"/>
      <c r="Z35" s="10"/>
    </row>
    <row r="36" ht="15.0" customHeight="1">
      <c r="A36" s="54"/>
      <c r="S36" s="48"/>
      <c r="T36" s="10"/>
      <c r="U36" s="10"/>
      <c r="V36" s="10"/>
      <c r="W36" s="10"/>
      <c r="X36" s="10"/>
      <c r="Y36" s="10"/>
      <c r="Z36" s="10"/>
    </row>
    <row r="37" ht="15.0" customHeight="1">
      <c r="A37" s="54"/>
      <c r="S37" s="48"/>
      <c r="T37" s="10"/>
      <c r="U37" s="10"/>
      <c r="V37" s="10"/>
      <c r="W37" s="10"/>
      <c r="X37" s="10"/>
      <c r="Y37" s="10"/>
      <c r="Z37" s="10"/>
    </row>
    <row r="38" ht="15.0" customHeight="1">
      <c r="A38" s="54"/>
      <c r="S38" s="48"/>
      <c r="T38" s="10"/>
      <c r="U38" s="10"/>
      <c r="V38" s="10"/>
      <c r="W38" s="10"/>
      <c r="X38" s="10"/>
      <c r="Y38" s="10"/>
      <c r="Z38" s="10"/>
    </row>
    <row r="39" ht="15.0" customHeight="1">
      <c r="A39" s="54"/>
      <c r="S39" s="48"/>
      <c r="T39" s="10"/>
      <c r="U39" s="10"/>
      <c r="V39" s="10"/>
      <c r="W39" s="10"/>
      <c r="X39" s="10"/>
      <c r="Y39" s="10"/>
      <c r="Z39" s="10"/>
    </row>
    <row r="40" ht="15.0" customHeight="1">
      <c r="A40" s="54"/>
      <c r="S40" s="48"/>
      <c r="T40" s="10"/>
      <c r="U40" s="10"/>
      <c r="V40" s="10"/>
      <c r="W40" s="10"/>
      <c r="X40" s="10"/>
      <c r="Y40" s="10"/>
      <c r="Z40" s="10"/>
    </row>
    <row r="41" ht="15.0" customHeight="1">
      <c r="A41" s="54"/>
      <c r="S41" s="48"/>
      <c r="T41" s="10"/>
      <c r="U41" s="10"/>
      <c r="V41" s="10"/>
      <c r="W41" s="10"/>
      <c r="X41" s="10"/>
      <c r="Y41" s="10"/>
      <c r="Z41" s="10"/>
    </row>
    <row r="42" ht="15.0" customHeight="1">
      <c r="A42" s="54"/>
      <c r="S42" s="48"/>
      <c r="T42" s="10"/>
      <c r="U42" s="10"/>
      <c r="V42" s="10"/>
      <c r="W42" s="10"/>
      <c r="X42" s="10"/>
      <c r="Y42" s="10"/>
      <c r="Z42" s="10"/>
    </row>
    <row r="43" ht="15.0" customHeight="1">
      <c r="A43" s="54"/>
      <c r="S43" s="48"/>
      <c r="T43" s="10"/>
      <c r="U43" s="10"/>
      <c r="V43" s="10"/>
      <c r="W43" s="10"/>
      <c r="X43" s="10"/>
      <c r="Y43" s="10"/>
      <c r="Z43" s="10"/>
    </row>
    <row r="44" ht="15.0" customHeight="1">
      <c r="A44" s="54"/>
      <c r="S44" s="48"/>
      <c r="T44" s="10"/>
      <c r="U44" s="10"/>
      <c r="V44" s="10"/>
      <c r="W44" s="10"/>
      <c r="X44" s="10"/>
      <c r="Y44" s="10"/>
      <c r="Z44" s="10"/>
    </row>
    <row r="45" ht="15.0" customHeight="1">
      <c r="A45" s="54"/>
      <c r="S45" s="48"/>
      <c r="T45" s="10"/>
      <c r="U45" s="10"/>
      <c r="V45" s="10"/>
      <c r="W45" s="10"/>
      <c r="X45" s="10"/>
      <c r="Y45" s="10"/>
      <c r="Z45" s="10"/>
    </row>
    <row r="46" ht="15.0" customHeight="1">
      <c r="A46" s="54"/>
      <c r="S46" s="48"/>
      <c r="T46" s="10"/>
      <c r="U46" s="10"/>
      <c r="V46" s="10"/>
      <c r="W46" s="10"/>
      <c r="X46" s="10"/>
      <c r="Y46" s="10"/>
      <c r="Z46" s="10"/>
    </row>
    <row r="47" ht="15.0" customHeight="1">
      <c r="A47" s="54"/>
      <c r="S47" s="48"/>
      <c r="T47" s="10"/>
      <c r="U47" s="10"/>
      <c r="V47" s="10"/>
      <c r="W47" s="10"/>
      <c r="X47" s="10"/>
      <c r="Y47" s="10"/>
      <c r="Z47" s="10"/>
    </row>
    <row r="48" ht="15.0" customHeight="1">
      <c r="A48" s="54"/>
      <c r="S48" s="48"/>
      <c r="T48" s="10"/>
      <c r="U48" s="10"/>
      <c r="V48" s="10"/>
      <c r="W48" s="10"/>
      <c r="X48" s="10"/>
      <c r="Y48" s="10"/>
      <c r="Z48" s="10"/>
    </row>
    <row r="49" ht="15.0" customHeight="1">
      <c r="A49" s="54"/>
      <c r="S49" s="48"/>
      <c r="T49" s="10"/>
      <c r="U49" s="10"/>
      <c r="V49" s="10"/>
      <c r="W49" s="10"/>
      <c r="X49" s="10"/>
      <c r="Y49" s="10"/>
      <c r="Z49" s="10"/>
    </row>
    <row r="50" ht="15.0" customHeight="1">
      <c r="A50" s="54"/>
      <c r="S50" s="48"/>
      <c r="T50" s="10"/>
      <c r="U50" s="10"/>
      <c r="V50" s="10"/>
      <c r="W50" s="10"/>
      <c r="X50" s="10"/>
      <c r="Y50" s="10"/>
      <c r="Z50" s="10"/>
    </row>
    <row r="51" ht="15.0" customHeight="1">
      <c r="A51" s="54"/>
      <c r="S51" s="48"/>
      <c r="T51" s="10"/>
      <c r="U51" s="10"/>
      <c r="V51" s="10"/>
      <c r="W51" s="10"/>
      <c r="X51" s="10"/>
      <c r="Y51" s="10"/>
      <c r="Z51" s="10"/>
    </row>
    <row r="52" ht="15.0" customHeight="1">
      <c r="A52" s="54"/>
      <c r="S52" s="48"/>
      <c r="T52" s="10"/>
      <c r="U52" s="10"/>
      <c r="V52" s="10"/>
      <c r="W52" s="10"/>
      <c r="X52" s="10"/>
      <c r="Y52" s="10"/>
      <c r="Z52" s="10"/>
    </row>
    <row r="53" ht="15.0" customHeight="1">
      <c r="A53" s="54"/>
      <c r="S53" s="48"/>
      <c r="T53" s="10"/>
      <c r="U53" s="10"/>
      <c r="V53" s="10"/>
      <c r="W53" s="10"/>
      <c r="X53" s="10"/>
      <c r="Y53" s="10"/>
      <c r="Z53" s="10"/>
    </row>
    <row r="54" ht="15.0" customHeight="1">
      <c r="A54" s="54"/>
      <c r="S54" s="48"/>
      <c r="T54" s="10"/>
      <c r="U54" s="10"/>
      <c r="V54" s="10"/>
      <c r="W54" s="10"/>
      <c r="X54" s="10"/>
      <c r="Y54" s="10"/>
      <c r="Z54" s="10"/>
    </row>
    <row r="55" ht="15.0" customHeight="1">
      <c r="A55" s="65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66"/>
      <c r="T55" s="10"/>
      <c r="U55" s="10"/>
      <c r="V55" s="10"/>
      <c r="W55" s="10"/>
      <c r="X55" s="10"/>
      <c r="Y55" s="10"/>
      <c r="Z55" s="10"/>
    </row>
    <row r="56" ht="12.75" customHeight="1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 ht="12.75" customHeight="1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 ht="12.75" customHeight="1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 ht="12.75" customHeight="1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 ht="12.75" customHeight="1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 ht="12.75" customHeight="1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 ht="12.75" customHeight="1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 ht="12.75" customHeight="1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 ht="12.75" customHeight="1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 ht="12.75" customHeight="1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 ht="12.75" customHeight="1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 ht="12.75" customHeight="1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 ht="12.75" customHeight="1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 ht="12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 ht="12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 ht="12.75" customHeight="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 ht="12.75" customHeight="1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 ht="12.75" customHeight="1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 ht="12.75" customHeight="1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 ht="12.75" customHeight="1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 ht="12.75" customHeight="1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 ht="12.75" customHeight="1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 ht="12.75" customHeight="1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 ht="12.75" customHeight="1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 ht="12.75" customHeight="1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 ht="12.75" customHeight="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 ht="12.75" customHeight="1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 ht="12.75" customHeight="1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 ht="12.75" customHeight="1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 ht="12.75" customHeight="1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 ht="12.75" customHeight="1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 ht="12.75" customHeight="1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 ht="12.75" customHeight="1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 ht="12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 ht="12.75" customHeight="1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 ht="12.75" customHeight="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 ht="12.75" customHeight="1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 ht="12.75" customHeight="1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 ht="12.75" customHeight="1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 ht="12.75" customHeight="1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 ht="12.75" customHeight="1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 ht="12.75" customHeight="1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 ht="12.75" customHeight="1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 ht="12.75" customHeight="1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 ht="12.75" customHeight="1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 ht="12.75" customHeight="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 ht="12.75" customHeight="1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 ht="12.75" customHeight="1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 ht="12.75" customHeight="1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 ht="12.75" customHeight="1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 ht="12.75" customHeight="1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 ht="12.75" customHeight="1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 ht="12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 ht="12.75" customHeight="1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 ht="12.75" customHeight="1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 ht="12.75" customHeight="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 ht="12.75" customHeight="1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 ht="12.75" customHeight="1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 ht="12.75" customHeight="1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 ht="12.75" customHeight="1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 ht="12.75" customHeight="1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 ht="12.75" customHeight="1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 ht="12.75" customHeight="1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 ht="12.75" customHeight="1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 ht="12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 ht="12.75" customHeight="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 ht="12.75" customHeight="1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 ht="12.75" customHeight="1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 ht="12.75" customHeight="1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 ht="12.75" customHeight="1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 ht="12.75" customHeight="1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 ht="12.75" customHeight="1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 ht="12.75" customHeight="1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 ht="12.75" customHeight="1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 ht="12.75" customHeight="1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 ht="12.75" customHeight="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 ht="12.75" customHeight="1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 ht="12.75" customHeight="1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 ht="12.75" customHeight="1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 ht="12.75" customHeight="1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 ht="12.75" customHeight="1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 ht="12.75" customHeight="1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 ht="12.75" customHeight="1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 ht="12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 ht="12.75" customHeight="1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 ht="12.75" customHeight="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 ht="12.75" customHeight="1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 ht="12.75" customHeight="1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 ht="12.75" customHeight="1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 ht="12.75" customHeight="1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 ht="12.75" customHeight="1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 ht="12.75" customHeight="1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 ht="12.75" customHeight="1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 ht="12.75" customHeight="1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 ht="12.75" customHeight="1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 ht="12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 ht="12.75" customHeight="1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 ht="12.75" customHeight="1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 ht="12.75" customHeight="1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 ht="12.75" customHeight="1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 ht="12.75" customHeight="1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 ht="12.75" customHeight="1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 ht="12.75" customHeight="1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 ht="12.75" customHeight="1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 ht="12.75" customHeight="1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 ht="12.75" customHeight="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 ht="12.75" customHeight="1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 ht="12.75" customHeight="1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 ht="12.75" customHeight="1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 ht="12.75" customHeight="1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 ht="12.75" customHeight="1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 ht="12.75" customHeight="1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 ht="12.75" customHeight="1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 ht="12.75" customHeight="1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 ht="12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 ht="12.75" customHeight="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 ht="12.75" customHeight="1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 ht="12.75" customHeight="1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 ht="12.75" customHeight="1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 ht="12.75" customHeight="1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 ht="12.75" customHeight="1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 ht="12.75" customHeight="1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 ht="12.75" customHeight="1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 ht="12.75" customHeight="1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 ht="12.75" customHeight="1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 ht="12.75" customHeight="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 ht="12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 ht="12.75" customHeight="1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 ht="12.75" customHeight="1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 ht="12.75" customHeight="1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 ht="12.75" customHeight="1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 ht="12.75" customHeight="1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 ht="12.75" customHeight="1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 ht="12.75" customHeight="1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 ht="12.75" customHeight="1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 ht="12.75" customHeight="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 ht="12.75" customHeight="1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 ht="12.75" customHeight="1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 ht="12.75" customHeight="1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 ht="12.75" customHeight="1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 ht="12.75" customHeight="1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 ht="12.75" customHeight="1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 ht="12.75" customHeight="1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 ht="12.75" customHeight="1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 ht="12.75" customHeight="1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 ht="12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 ht="12.75" customHeight="1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 ht="12.75" customHeight="1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 ht="12.75" customHeight="1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 ht="12.75" customHeight="1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 ht="12.75" customHeight="1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 ht="12.75" customHeight="1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 ht="12.75" customHeight="1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 ht="12.75" customHeight="1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 ht="12.75" customHeight="1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 ht="12.75" customHeight="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 ht="12.75" customHeight="1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 ht="12.75" customHeight="1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 ht="12.75" customHeight="1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 ht="12.75" customHeight="1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 ht="12.75" customHeight="1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 ht="12.75" customHeight="1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 ht="12.75" customHeight="1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 ht="12.75" customHeight="1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 ht="12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 ht="12.75" customHeight="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 ht="12.75" customHeight="1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 ht="12.75" customHeight="1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 ht="12.75" customHeight="1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 ht="12.75" customHeight="1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 ht="12.75" customHeight="1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 ht="12.75" customHeight="1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 ht="12.75" customHeight="1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 ht="12.75" customHeight="1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 ht="12.75" customHeight="1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 ht="12.75" customHeight="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 ht="12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 ht="12.75" customHeight="1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 ht="12.75" customHeight="1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 ht="12.75" customHeight="1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 ht="12.75" customHeight="1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 ht="12.75" customHeight="1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 ht="12.75" customHeight="1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 ht="12.75" customHeight="1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 ht="12.75" customHeight="1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 ht="12.75" customHeight="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 ht="12.75" customHeight="1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 ht="12.75" customHeight="1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 ht="12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 ht="12.75" customHeight="1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 ht="12.75" customHeight="1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 ht="12.75" customHeight="1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 ht="12.75" customHeight="1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 ht="12.75" customHeight="1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 ht="12.75" customHeight="1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 ht="12.75" customHeight="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 ht="12.75" customHeight="1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 ht="12.75" customHeight="1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 ht="12.75" customHeight="1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 ht="12.75" customHeight="1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 ht="12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 ht="12.75" customHeight="1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 ht="12.75" customHeight="1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 ht="12.75" customHeight="1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 ht="12.75" customHeight="1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 ht="12.75" customHeight="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 ht="12.75" customHeight="1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 ht="12.75" customHeight="1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 ht="12.75" customHeight="1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 ht="12.75" customHeight="1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 ht="12.75" customHeight="1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 ht="12.75" customHeight="1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 ht="12.75" customHeight="1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 ht="12.75" customHeight="1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 ht="12.75" customHeight="1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 ht="12.75" customHeight="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 ht="12.75" customHeight="1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 ht="12.75" customHeight="1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 ht="12.75" customHeight="1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 ht="12.75" customHeight="1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 ht="12.75" customHeight="1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 ht="12.75" customHeight="1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 ht="12.75" customHeight="1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 ht="12.75" customHeight="1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 ht="12.75" customHeight="1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 ht="12.75" customHeight="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 ht="12.75" customHeight="1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 ht="12.75" customHeight="1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 ht="12.75" customHeight="1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 ht="12.75" customHeight="1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 ht="12.75" customHeight="1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 ht="12.75" customHeight="1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 ht="12.75" customHeight="1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 ht="12.75" customHeight="1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 ht="12.75" customHeight="1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 ht="12.75" customHeight="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 ht="12.75" customHeight="1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 ht="12.75" customHeight="1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 ht="12.75" customHeight="1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 ht="12.75" customHeight="1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 ht="12.75" customHeight="1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 ht="12.75" customHeight="1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 ht="12.75" customHeight="1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 ht="12.75" customHeight="1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 ht="12.75" customHeight="1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 ht="12.75" customHeight="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 ht="12.75" customHeight="1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 ht="12.75" customHeight="1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 ht="12.75" customHeight="1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 ht="12.75" customHeight="1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 ht="12.75" customHeight="1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 ht="12.75" customHeight="1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 ht="12.75" customHeight="1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 ht="12.75" customHeight="1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 ht="12.75" customHeight="1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 ht="12.75" customHeight="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 ht="12.75" customHeight="1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 ht="12.75" customHeight="1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 ht="12.75" customHeight="1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 ht="12.75" customHeight="1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 ht="12.75" customHeight="1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 ht="12.75" customHeight="1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 ht="12.75" customHeight="1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 ht="12.75" customHeight="1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 ht="12.75" customHeight="1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 ht="12.75" customHeight="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 ht="12.75" customHeight="1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 ht="12.75" customHeight="1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 ht="12.75" customHeight="1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 ht="12.75" customHeight="1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 ht="12.75" customHeight="1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 ht="12.75" customHeight="1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 ht="12.75" customHeight="1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 ht="12.75" customHeight="1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 ht="12.75" customHeight="1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 ht="12.75" customHeight="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 ht="12.75" customHeight="1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 ht="12.75" customHeight="1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 ht="12.75" customHeight="1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 ht="12.75" customHeight="1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 ht="12.75" customHeight="1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 ht="12.75" customHeight="1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 ht="12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 ht="12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 ht="12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 ht="12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 ht="12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 ht="12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 ht="12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 ht="12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 ht="12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 ht="12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 ht="12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 ht="12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 ht="12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 ht="12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 ht="12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 ht="12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 ht="12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 ht="12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 ht="12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 ht="12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 ht="12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 ht="12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 ht="12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 ht="12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 ht="12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 ht="12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 ht="12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 ht="12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 ht="12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 ht="12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 ht="12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 ht="12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 ht="12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 ht="12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 ht="12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 ht="12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 ht="12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 ht="12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 ht="12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 ht="12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 ht="12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 ht="12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 ht="12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 ht="12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 ht="12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 ht="12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 ht="12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 ht="12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 ht="12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 ht="12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 ht="12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 ht="12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 ht="12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 ht="12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 ht="12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 ht="12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 ht="12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 ht="12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 ht="12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 ht="12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 ht="12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 ht="12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 ht="12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 ht="12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 ht="12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 ht="12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 ht="12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 ht="12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 ht="12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 ht="12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 ht="12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 ht="12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 ht="12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 ht="12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 ht="12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 ht="12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 ht="12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 ht="12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 ht="12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 ht="12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 ht="12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 ht="12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 ht="12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 ht="12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 ht="12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 ht="12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 ht="12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 ht="12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 ht="12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 ht="12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 ht="12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 ht="12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 ht="12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 ht="12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 ht="12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 ht="12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 ht="12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 ht="12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 ht="12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 ht="12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 ht="12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 ht="12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 ht="12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 ht="12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 ht="12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 ht="12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 ht="12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 ht="12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 ht="12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 ht="12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 ht="12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 ht="12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 ht="12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 ht="12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 ht="12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 ht="12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 ht="12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 ht="12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 ht="12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 ht="12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 ht="12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 ht="12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 ht="12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 ht="12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 ht="12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 ht="12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 ht="12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 ht="12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 ht="12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 ht="12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 ht="12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 ht="12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 ht="12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 ht="12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 ht="12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 ht="12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 ht="12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 ht="12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 ht="12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 ht="12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 ht="12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 ht="12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 ht="12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 ht="12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 ht="12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 ht="12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 ht="12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 ht="12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 ht="12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 ht="12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 ht="12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 ht="12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 ht="12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 ht="12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 ht="12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 ht="12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 ht="12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 ht="12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 ht="12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 ht="12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 ht="12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 ht="12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 ht="12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 ht="12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 ht="12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 ht="12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 ht="12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 ht="12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 ht="12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 ht="12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 ht="12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 ht="12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 ht="12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 ht="12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 ht="12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 ht="12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 ht="12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 ht="12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 ht="12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 ht="12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 ht="12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 ht="12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 ht="12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 ht="12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 ht="12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 ht="12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 ht="12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 ht="12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 ht="12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 ht="12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 ht="12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 ht="12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 ht="12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 ht="12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 ht="12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 ht="12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 ht="12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 ht="12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 ht="12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 ht="12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 ht="12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 ht="12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 ht="12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 ht="12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 ht="12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 ht="12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 ht="12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 ht="12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 ht="12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 ht="12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 ht="12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 ht="12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 ht="12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 ht="12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 ht="12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 ht="12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 ht="12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 ht="12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 ht="12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 ht="12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 ht="12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 ht="12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 ht="12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 ht="12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 ht="12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 ht="12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 ht="12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 ht="12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 ht="12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 ht="12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 ht="12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 ht="12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 ht="12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 ht="12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 ht="12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 ht="12.75" customHeight="1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 ht="12.75" customHeight="1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 ht="12.75" customHeight="1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 ht="12.75" customHeight="1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 ht="12.75" customHeight="1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 ht="12.75" customHeight="1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 ht="12.75" customHeight="1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 ht="12.75" customHeight="1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 ht="12.75" customHeight="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 ht="12.75" customHeight="1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 ht="12.75" customHeight="1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 ht="12.75" customHeight="1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 ht="12.75" customHeight="1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 ht="12.75" customHeight="1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 ht="12.75" customHeight="1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 ht="12.75" customHeight="1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 ht="12.75" customHeight="1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 ht="12.75" customHeight="1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 ht="12.75" customHeight="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 ht="12.75" customHeight="1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 ht="12.75" customHeight="1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 ht="12.75" customHeight="1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 ht="12.75" customHeight="1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 ht="12.75" customHeight="1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 ht="12.75" customHeight="1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 ht="12.75" customHeight="1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 ht="12.75" customHeight="1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 ht="12.75" customHeight="1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 ht="12.75" customHeight="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 ht="12.75" customHeight="1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 ht="12.75" customHeight="1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 ht="12.75" customHeight="1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 ht="12.75" customHeight="1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 ht="12.75" customHeight="1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 ht="12.75" customHeight="1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 ht="12.75" customHeight="1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 ht="12.75" customHeight="1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 ht="12.75" customHeight="1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 ht="12.75" customHeight="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 ht="12.75" customHeight="1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 ht="12.75" customHeight="1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 ht="12.75" customHeight="1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 ht="12.75" customHeight="1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 ht="12.75" customHeight="1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 ht="12.75" customHeight="1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 ht="12.75" customHeight="1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 ht="12.75" customHeight="1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 ht="12.75" customHeight="1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 ht="12.75" customHeight="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 ht="12.75" customHeight="1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 ht="12.75" customHeight="1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 ht="12.75" customHeight="1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 ht="12.75" customHeight="1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 ht="12.75" customHeight="1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 ht="12.75" customHeight="1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 ht="12.75" customHeight="1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 ht="12.75" customHeight="1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 ht="12.75" customHeight="1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 ht="12.75" customHeight="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 ht="12.75" customHeight="1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 ht="12.75" customHeight="1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 ht="12.75" customHeight="1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 ht="12.75" customHeight="1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 ht="12.75" customHeight="1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 ht="12.75" customHeight="1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 ht="12.75" customHeight="1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 ht="12.75" customHeight="1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 ht="12.75" customHeight="1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 ht="12.75" customHeight="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 ht="12.75" customHeight="1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 ht="12.75" customHeight="1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 ht="12.75" customHeight="1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 ht="12.75" customHeight="1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 ht="12.75" customHeight="1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 ht="12.75" customHeight="1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 ht="12.75" customHeight="1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 ht="12.75" customHeight="1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 ht="12.75" customHeight="1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 ht="12.75" customHeight="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 ht="12.75" customHeight="1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 ht="12.75" customHeight="1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 ht="12.75" customHeight="1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 ht="12.75" customHeight="1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 ht="12.75" customHeight="1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 ht="12.75" customHeight="1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 ht="12.75" customHeight="1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 ht="12.75" customHeight="1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 ht="12.75" customHeight="1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 ht="12.75" customHeight="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 ht="12.75" customHeight="1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 ht="12.75" customHeight="1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 ht="12.75" customHeight="1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 ht="12.75" customHeight="1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 ht="12.75" customHeight="1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 ht="12.75" customHeight="1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 ht="12.75" customHeight="1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 ht="12.75" customHeight="1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 ht="12.75" customHeight="1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 ht="12.75" customHeight="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 ht="12.75" customHeight="1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 ht="12.75" customHeight="1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 ht="12.75" customHeight="1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 ht="12.75" customHeight="1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 ht="12.75" customHeight="1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 ht="12.75" customHeight="1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 ht="12.75" customHeight="1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 ht="12.75" customHeight="1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 ht="12.75" customHeight="1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 ht="12.75" customHeight="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 ht="12.75" customHeight="1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 ht="12.75" customHeight="1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 ht="12.75" customHeight="1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 ht="12.75" customHeight="1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 ht="12.75" customHeight="1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 ht="12.75" customHeight="1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 ht="12.75" customHeight="1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 ht="12.75" customHeight="1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 ht="12.75" customHeight="1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 ht="12.75" customHeight="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 ht="12.75" customHeight="1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 ht="12.75" customHeight="1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 ht="12.75" customHeight="1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 ht="12.75" customHeight="1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 ht="12.75" customHeight="1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 ht="12.75" customHeight="1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 ht="12.75" customHeight="1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 ht="12.75" customHeight="1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 ht="12.75" customHeight="1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 ht="12.75" customHeight="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 ht="12.75" customHeight="1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 ht="12.75" customHeight="1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 ht="12.75" customHeight="1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 ht="12.75" customHeight="1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 ht="12.75" customHeight="1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 ht="12.75" customHeight="1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 ht="12.75" customHeight="1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 ht="12.75" customHeight="1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 ht="12.75" customHeight="1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 ht="12.75" customHeight="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 ht="12.75" customHeight="1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 ht="12.75" customHeight="1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 ht="12.75" customHeight="1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 ht="12.75" customHeight="1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 ht="12.75" customHeight="1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 ht="12.75" customHeight="1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 ht="12.75" customHeight="1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 ht="12.75" customHeight="1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 ht="12.75" customHeight="1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 ht="12.75" customHeight="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 ht="12.75" customHeight="1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 ht="12.75" customHeight="1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 ht="12.75" customHeight="1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 ht="12.75" customHeight="1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 ht="12.75" customHeight="1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 ht="12.75" customHeight="1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 ht="12.75" customHeight="1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 ht="12.75" customHeight="1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 ht="12.75" customHeight="1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 ht="12.75" customHeight="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 ht="12.75" customHeight="1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 ht="12.75" customHeight="1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 ht="12.75" customHeight="1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 ht="12.75" customHeight="1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 ht="12.75" customHeight="1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 ht="12.75" customHeight="1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 ht="12.75" customHeight="1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 ht="12.75" customHeight="1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 ht="12.75" customHeight="1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 ht="12.75" customHeight="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 ht="12.75" customHeight="1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 ht="12.75" customHeight="1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 ht="12.75" customHeight="1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 ht="12.75" customHeight="1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 ht="12.75" customHeight="1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 ht="12.75" customHeight="1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 ht="12.75" customHeight="1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 ht="12.75" customHeight="1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 ht="12.75" customHeight="1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 ht="12.75" customHeight="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 ht="12.75" customHeight="1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 ht="12.75" customHeight="1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 ht="12.75" customHeight="1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 ht="12.75" customHeight="1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 ht="12.75" customHeight="1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 ht="12.75" customHeight="1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 ht="12.75" customHeight="1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 ht="12.75" customHeight="1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 ht="12.75" customHeight="1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 ht="12.75" customHeight="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 ht="12.75" customHeight="1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 ht="12.75" customHeight="1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 ht="12.75" customHeight="1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 ht="12.75" customHeight="1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 ht="12.75" customHeight="1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 ht="12.75" customHeight="1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 ht="12.75" customHeight="1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 ht="12.75" customHeight="1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 ht="12.75" customHeight="1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 ht="12.75" customHeight="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 ht="12.75" customHeight="1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 ht="12.75" customHeight="1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 ht="12.75" customHeight="1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 ht="12.75" customHeight="1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 ht="12.75" customHeight="1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 ht="12.75" customHeight="1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 ht="12.75" customHeight="1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 ht="12.75" customHeight="1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 ht="12.75" customHeight="1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 ht="12.75" customHeight="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 ht="12.75" customHeight="1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 ht="12.75" customHeight="1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 ht="12.75" customHeight="1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 ht="12.75" customHeight="1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 ht="12.75" customHeight="1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 ht="12.75" customHeight="1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 ht="12.75" customHeight="1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 ht="12.75" customHeight="1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 ht="12.75" customHeight="1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 ht="12.75" customHeight="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 ht="12.75" customHeight="1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 ht="12.75" customHeight="1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 ht="12.75" customHeight="1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 ht="12.75" customHeight="1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 ht="12.75" customHeight="1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 ht="12.75" customHeight="1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 ht="12.75" customHeight="1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 ht="12.75" customHeight="1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 ht="12.75" customHeight="1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 ht="12.75" customHeight="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 ht="12.75" customHeight="1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 ht="12.75" customHeight="1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 ht="12.75" customHeight="1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 ht="12.75" customHeight="1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 ht="12.75" customHeight="1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 ht="12.75" customHeight="1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 ht="12.75" customHeight="1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 ht="12.75" customHeight="1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 ht="12.75" customHeight="1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 ht="12.75" customHeight="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 ht="12.75" customHeight="1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 ht="12.75" customHeight="1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 ht="12.75" customHeight="1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 ht="12.75" customHeight="1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 ht="12.75" customHeight="1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 ht="12.75" customHeight="1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 ht="12.75" customHeight="1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 ht="12.75" customHeight="1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 ht="12.75" customHeight="1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 ht="12.75" customHeight="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 ht="12.75" customHeight="1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 ht="12.75" customHeight="1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 ht="12.75" customHeight="1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 ht="12.75" customHeight="1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 ht="12.75" customHeight="1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 ht="12.75" customHeight="1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 ht="12.75" customHeight="1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 ht="12.75" customHeight="1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 ht="12.75" customHeight="1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 ht="12.75" customHeight="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 ht="12.75" customHeight="1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 ht="12.75" customHeight="1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 ht="12.75" customHeight="1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 ht="12.75" customHeight="1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 ht="12.75" customHeight="1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 ht="12.75" customHeight="1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 ht="12.75" customHeight="1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 ht="12.75" customHeight="1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 ht="12.75" customHeight="1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 ht="12.75" customHeight="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 ht="12.75" customHeight="1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 ht="12.75" customHeight="1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 ht="12.75" customHeight="1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 ht="12.75" customHeight="1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 ht="12.75" customHeight="1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 ht="12.75" customHeight="1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 ht="12.75" customHeight="1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 ht="12.75" customHeight="1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 ht="12.75" customHeight="1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 ht="12.75" customHeight="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 ht="12.75" customHeight="1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 ht="12.75" customHeight="1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 ht="12.75" customHeight="1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 ht="12.75" customHeight="1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 ht="12.75" customHeight="1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 ht="12.75" customHeight="1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 ht="12.75" customHeight="1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 ht="12.75" customHeight="1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 ht="12.75" customHeight="1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 ht="12.75" customHeight="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 ht="12.75" customHeight="1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 ht="12.75" customHeight="1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 ht="12.75" customHeight="1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 ht="12.75" customHeight="1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 ht="12.75" customHeight="1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 ht="12.75" customHeight="1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 ht="12.75" customHeight="1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 ht="12.75" customHeight="1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 ht="12.75" customHeight="1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 ht="12.75" customHeight="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 ht="12.75" customHeight="1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 ht="12.75" customHeight="1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 ht="12.75" customHeight="1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 ht="12.75" customHeight="1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 ht="12.75" customHeight="1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 ht="12.75" customHeight="1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 ht="12.75" customHeight="1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 ht="12.75" customHeight="1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 ht="12.75" customHeight="1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 ht="12.75" customHeight="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 ht="12.75" customHeight="1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 ht="12.75" customHeight="1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 ht="12.75" customHeight="1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 ht="12.75" customHeight="1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 ht="12.75" customHeight="1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 ht="12.75" customHeight="1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 ht="12.75" customHeight="1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 ht="12.75" customHeight="1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 ht="12.75" customHeight="1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 ht="12.75" customHeight="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 ht="12.75" customHeight="1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 ht="12.75" customHeight="1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 ht="12.75" customHeight="1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 ht="12.75" customHeight="1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 ht="12.75" customHeight="1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 ht="12.75" customHeight="1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 ht="12.75" customHeight="1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 ht="12.75" customHeight="1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 ht="12.75" customHeight="1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 ht="12.75" customHeight="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 ht="12.75" customHeight="1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 ht="12.75" customHeight="1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 ht="12.75" customHeight="1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 ht="12.75" customHeight="1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 ht="12.75" customHeight="1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 ht="12.75" customHeight="1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 ht="12.75" customHeight="1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 ht="12.75" customHeight="1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 ht="12.75" customHeight="1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 ht="12.75" customHeight="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 ht="12.75" customHeight="1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 ht="12.75" customHeight="1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 ht="12.75" customHeight="1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 ht="12.75" customHeight="1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 ht="12.75" customHeight="1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 ht="12.75" customHeight="1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 ht="12.75" customHeight="1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 ht="12.75" customHeight="1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 ht="12.75" customHeight="1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 ht="12.75" customHeight="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 ht="12.75" customHeight="1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 ht="12.75" customHeight="1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 ht="12.75" customHeight="1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 ht="12.75" customHeight="1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 ht="12.75" customHeight="1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 ht="12.75" customHeight="1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 ht="12.75" customHeight="1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 ht="12.75" customHeight="1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 ht="12.75" customHeight="1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 ht="12.75" customHeight="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 ht="12.75" customHeight="1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 ht="12.75" customHeight="1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 ht="12.75" customHeight="1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 ht="12.75" customHeight="1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 ht="12.75" customHeight="1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 ht="12.75" customHeight="1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 ht="12.75" customHeight="1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 ht="12.75" customHeight="1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 ht="12.75" customHeight="1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 ht="12.75" customHeight="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 ht="12.75" customHeight="1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 ht="12.75" customHeight="1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 ht="12.75" customHeight="1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 ht="12.75" customHeight="1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 ht="12.75" customHeight="1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 ht="12.75" customHeight="1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 ht="12.75" customHeight="1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 ht="12.75" customHeight="1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 ht="12.75" customHeight="1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 ht="12.75" customHeight="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 ht="12.75" customHeight="1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 ht="12.75" customHeight="1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 ht="12.75" customHeight="1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 ht="12.75" customHeight="1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 ht="12.75" customHeight="1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 ht="12.75" customHeight="1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 ht="12.75" customHeight="1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 ht="12.75" customHeight="1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 ht="12.75" customHeight="1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 ht="12.75" customHeight="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 ht="12.75" customHeight="1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 ht="12.75" customHeight="1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 ht="12.75" customHeight="1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 ht="12.75" customHeight="1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 ht="12.75" customHeight="1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 ht="12.75" customHeight="1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 ht="12.75" customHeight="1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 ht="12.75" customHeight="1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 ht="12.75" customHeight="1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 ht="12.75" customHeight="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 ht="12.75" customHeight="1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 ht="12.75" customHeight="1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 ht="12.75" customHeight="1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 ht="12.75" customHeight="1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 ht="12.75" customHeight="1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 ht="12.75" customHeight="1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 ht="12.75" customHeight="1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 ht="12.75" customHeight="1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 ht="12.75" customHeight="1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 ht="12.75" customHeight="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 ht="12.75" customHeight="1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 ht="12.75" customHeight="1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 ht="12.75" customHeight="1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 ht="12.75" customHeight="1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 ht="12.75" customHeight="1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 ht="12.75" customHeight="1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 ht="12.75" customHeight="1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 ht="12.75" customHeight="1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 ht="12.75" customHeight="1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 ht="12.75" customHeight="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 ht="12.75" customHeight="1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 ht="12.75" customHeight="1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 ht="12.75" customHeight="1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 ht="12.75" customHeight="1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 ht="12.75" customHeight="1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 ht="12.75" customHeight="1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 ht="12.75" customHeight="1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 ht="12.75" customHeight="1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 ht="12.75" customHeight="1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mergeCells count="7">
    <mergeCell ref="A1:S1"/>
    <mergeCell ref="C2:D2"/>
    <mergeCell ref="G2:K2"/>
    <mergeCell ref="M2:S2"/>
    <mergeCell ref="C3:D3"/>
    <mergeCell ref="J3:N3"/>
    <mergeCell ref="A4:S55"/>
  </mergeCells>
  <printOptions horizontalCentered="1"/>
  <pageMargins bottom="0.0" footer="0.0" header="0.0" left="0.0" right="0.0" top="0.25"/>
  <pageSetup paperSize="9" scale="52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3366"/>
    <pageSetUpPr/>
  </sheetPr>
  <sheetViews>
    <sheetView workbookViewId="0"/>
  </sheetViews>
  <sheetFormatPr customHeight="1" defaultColWidth="12.63" defaultRowHeight="15.0"/>
  <cols>
    <col customWidth="1" min="1" max="24" width="7.25"/>
    <col customWidth="1" min="25" max="26" width="8.75"/>
  </cols>
  <sheetData>
    <row r="1" ht="47.25" customHeight="1">
      <c r="A1" s="1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8"/>
    </row>
    <row r="2" ht="23.25" customHeight="1">
      <c r="A2" s="13" t="str">
        <f t="shared" ref="A2:A3" si="1">#REF!</f>
        <v>#REF!</v>
      </c>
      <c r="B2" s="14"/>
      <c r="C2" s="14"/>
      <c r="D2" s="14"/>
      <c r="E2" s="14"/>
      <c r="F2" s="15"/>
      <c r="G2" s="18" t="str">
        <f t="shared" ref="G2:G3" si="2">#REF!</f>
        <v>#REF!</v>
      </c>
      <c r="H2" s="14"/>
      <c r="I2" s="14"/>
      <c r="J2" s="14"/>
      <c r="K2" s="14"/>
      <c r="L2" s="14"/>
      <c r="M2" s="15"/>
      <c r="N2" s="18" t="str">
        <f>#REF!</f>
        <v>#REF!</v>
      </c>
      <c r="O2" s="14"/>
      <c r="P2" s="14"/>
      <c r="Q2" s="14"/>
      <c r="R2" s="14"/>
      <c r="S2" s="14"/>
      <c r="T2" s="14"/>
      <c r="U2" s="14"/>
      <c r="V2" s="14"/>
      <c r="W2" s="14"/>
      <c r="X2" s="21"/>
    </row>
    <row r="3" ht="23.25" customHeight="1">
      <c r="A3" s="22" t="str">
        <f t="shared" si="1"/>
        <v>#REF!</v>
      </c>
      <c r="B3" s="23"/>
      <c r="C3" s="23"/>
      <c r="D3" s="23"/>
      <c r="E3" s="23"/>
      <c r="F3" s="24"/>
      <c r="G3" s="27" t="str">
        <f t="shared" si="2"/>
        <v>#REF!</v>
      </c>
      <c r="H3" s="23"/>
      <c r="I3" s="23"/>
      <c r="J3" s="24"/>
      <c r="K3" s="29" t="str">
        <f>#REF!</f>
        <v>#REF!</v>
      </c>
      <c r="L3" s="32"/>
      <c r="M3" s="32"/>
      <c r="N3" s="35" t="str">
        <f>'Measurement sheet'!#REF!</f>
        <v>#ERROR!</v>
      </c>
      <c r="O3" s="27" t="str">
        <f>'Measurement sheet'!#REF!</f>
        <v>#ERROR!</v>
      </c>
      <c r="P3" s="23"/>
      <c r="Q3" s="23"/>
      <c r="R3" s="23"/>
      <c r="S3" s="23"/>
      <c r="T3" s="23"/>
      <c r="U3" s="23"/>
      <c r="V3" s="39"/>
      <c r="W3" s="41" t="s">
        <v>13</v>
      </c>
      <c r="X3" s="44" t="str">
        <f>'Measurement sheet'!#REF!</f>
        <v>#ERROR!</v>
      </c>
    </row>
    <row r="4" ht="12.0" customHeight="1">
      <c r="A4" s="46"/>
      <c r="G4" s="46"/>
      <c r="L4" s="48"/>
      <c r="M4" s="49"/>
      <c r="S4" s="46"/>
      <c r="X4" s="48"/>
    </row>
    <row r="5" ht="12.0" customHeight="1">
      <c r="A5" s="54"/>
      <c r="G5" s="54"/>
      <c r="L5" s="48"/>
      <c r="S5" s="54"/>
      <c r="X5" s="48"/>
    </row>
    <row r="6" ht="12.0" customHeight="1">
      <c r="A6" s="54"/>
      <c r="G6" s="54"/>
      <c r="L6" s="48"/>
      <c r="S6" s="54"/>
      <c r="X6" s="48"/>
    </row>
    <row r="7" ht="12.0" customHeight="1">
      <c r="A7" s="54"/>
      <c r="G7" s="54"/>
      <c r="L7" s="48"/>
      <c r="S7" s="54"/>
      <c r="X7" s="48"/>
    </row>
    <row r="8" ht="12.0" customHeight="1">
      <c r="A8" s="54"/>
      <c r="G8" s="54"/>
      <c r="L8" s="48"/>
      <c r="S8" s="54"/>
      <c r="X8" s="48"/>
    </row>
    <row r="9" ht="12.0" customHeight="1">
      <c r="A9" s="54"/>
      <c r="G9" s="54"/>
      <c r="L9" s="48"/>
      <c r="S9" s="54"/>
      <c r="X9" s="48"/>
    </row>
    <row r="10" ht="12.0" customHeight="1">
      <c r="A10" s="54"/>
      <c r="G10" s="54"/>
      <c r="L10" s="48"/>
      <c r="S10" s="54"/>
      <c r="X10" s="48"/>
    </row>
    <row r="11" ht="12.0" customHeight="1">
      <c r="A11" s="54"/>
      <c r="G11" s="54"/>
      <c r="L11" s="48"/>
      <c r="S11" s="54"/>
      <c r="X11" s="48"/>
    </row>
    <row r="12" ht="12.0" customHeight="1">
      <c r="A12" s="54"/>
      <c r="G12" s="54"/>
      <c r="L12" s="48"/>
      <c r="S12" s="54"/>
      <c r="X12" s="48"/>
    </row>
    <row r="13" ht="12.0" customHeight="1">
      <c r="A13" s="54"/>
      <c r="G13" s="54"/>
      <c r="L13" s="48"/>
      <c r="S13" s="54"/>
      <c r="X13" s="48"/>
    </row>
    <row r="14" ht="12.0" customHeight="1">
      <c r="A14" s="54"/>
      <c r="G14" s="54"/>
      <c r="L14" s="48"/>
      <c r="S14" s="54"/>
      <c r="X14" s="48"/>
    </row>
    <row r="15" ht="12.0" customHeight="1">
      <c r="A15" s="54"/>
      <c r="G15" s="54"/>
      <c r="L15" s="48"/>
      <c r="S15" s="54"/>
      <c r="X15" s="48"/>
    </row>
    <row r="16" ht="12.0" customHeight="1">
      <c r="A16" s="54"/>
      <c r="G16" s="65"/>
      <c r="H16" s="4"/>
      <c r="I16" s="4"/>
      <c r="J16" s="4"/>
      <c r="K16" s="4"/>
      <c r="L16" s="66"/>
      <c r="S16" s="65"/>
      <c r="T16" s="4"/>
      <c r="U16" s="4"/>
      <c r="V16" s="4"/>
      <c r="W16" s="4"/>
      <c r="X16" s="66"/>
    </row>
    <row r="17" ht="19.5" customHeight="1">
      <c r="A17" s="67" t="s">
        <v>20</v>
      </c>
      <c r="B17" s="68"/>
      <c r="C17" s="68"/>
      <c r="D17" s="68"/>
      <c r="E17" s="68"/>
      <c r="F17" s="69"/>
      <c r="G17" s="67" t="s">
        <v>21</v>
      </c>
      <c r="H17" s="68"/>
      <c r="I17" s="68"/>
      <c r="J17" s="68"/>
      <c r="K17" s="68"/>
      <c r="L17" s="69"/>
      <c r="M17" s="67" t="s">
        <v>22</v>
      </c>
      <c r="N17" s="68"/>
      <c r="O17" s="68"/>
      <c r="P17" s="68"/>
      <c r="Q17" s="68"/>
      <c r="R17" s="69"/>
      <c r="S17" s="67" t="s">
        <v>23</v>
      </c>
      <c r="T17" s="68"/>
      <c r="U17" s="68"/>
      <c r="V17" s="68"/>
      <c r="W17" s="68"/>
      <c r="X17" s="69"/>
    </row>
    <row r="18" ht="12.0" customHeight="1">
      <c r="A18" s="80"/>
      <c r="B18" s="53"/>
      <c r="C18" s="53"/>
      <c r="D18" s="53"/>
      <c r="E18" s="53"/>
      <c r="F18" s="53"/>
      <c r="G18" s="80"/>
      <c r="H18" s="53"/>
      <c r="I18" s="53"/>
      <c r="J18" s="53"/>
      <c r="K18" s="53"/>
      <c r="L18" s="60"/>
      <c r="M18" s="85"/>
      <c r="N18" s="53"/>
      <c r="O18" s="53"/>
      <c r="P18" s="53"/>
      <c r="Q18" s="53"/>
      <c r="R18" s="53"/>
      <c r="S18" s="80"/>
      <c r="T18" s="53"/>
      <c r="U18" s="53"/>
      <c r="V18" s="53"/>
      <c r="W18" s="53"/>
      <c r="X18" s="60"/>
    </row>
    <row r="19" ht="12.0" customHeight="1">
      <c r="A19" s="54"/>
      <c r="G19" s="54"/>
      <c r="L19" s="48"/>
      <c r="S19" s="54"/>
      <c r="X19" s="48"/>
    </row>
    <row r="20" ht="12.0" customHeight="1">
      <c r="A20" s="54"/>
      <c r="G20" s="54"/>
      <c r="L20" s="48"/>
      <c r="S20" s="54"/>
      <c r="X20" s="48"/>
    </row>
    <row r="21" ht="12.0" customHeight="1">
      <c r="A21" s="54"/>
      <c r="G21" s="54"/>
      <c r="L21" s="48"/>
      <c r="S21" s="54"/>
      <c r="X21" s="48"/>
    </row>
    <row r="22" ht="12.0" customHeight="1">
      <c r="A22" s="54"/>
      <c r="G22" s="54"/>
      <c r="L22" s="48"/>
      <c r="S22" s="54"/>
      <c r="X22" s="48"/>
    </row>
    <row r="23" ht="12.0" customHeight="1">
      <c r="A23" s="54"/>
      <c r="G23" s="54"/>
      <c r="L23" s="48"/>
      <c r="S23" s="54"/>
      <c r="X23" s="48"/>
    </row>
    <row r="24" ht="12.0" customHeight="1">
      <c r="A24" s="54"/>
      <c r="G24" s="54"/>
      <c r="L24" s="48"/>
      <c r="S24" s="54"/>
      <c r="X24" s="48"/>
    </row>
    <row r="25" ht="12.0" customHeight="1">
      <c r="A25" s="54"/>
      <c r="G25" s="54"/>
      <c r="L25" s="48"/>
      <c r="S25" s="54"/>
      <c r="X25" s="48"/>
    </row>
    <row r="26" ht="12.0" customHeight="1">
      <c r="A26" s="54"/>
      <c r="G26" s="54"/>
      <c r="L26" s="48"/>
      <c r="S26" s="54"/>
      <c r="X26" s="48"/>
    </row>
    <row r="27" ht="12.0" customHeight="1">
      <c r="A27" s="54"/>
      <c r="G27" s="54"/>
      <c r="L27" s="48"/>
      <c r="S27" s="54"/>
      <c r="X27" s="48"/>
    </row>
    <row r="28" ht="12.0" customHeight="1">
      <c r="A28" s="54"/>
      <c r="G28" s="54"/>
      <c r="L28" s="48"/>
      <c r="S28" s="54"/>
      <c r="X28" s="48"/>
    </row>
    <row r="29" ht="12.0" customHeight="1">
      <c r="A29" s="54"/>
      <c r="G29" s="54"/>
      <c r="L29" s="48"/>
      <c r="S29" s="54"/>
      <c r="X29" s="48"/>
    </row>
    <row r="30" ht="12.0" customHeight="1">
      <c r="A30" s="54"/>
      <c r="G30" s="65"/>
      <c r="H30" s="4"/>
      <c r="I30" s="4"/>
      <c r="J30" s="4"/>
      <c r="K30" s="4"/>
      <c r="L30" s="66"/>
      <c r="S30" s="65"/>
      <c r="T30" s="4"/>
      <c r="U30" s="4"/>
      <c r="V30" s="4"/>
      <c r="W30" s="4"/>
      <c r="X30" s="66"/>
    </row>
    <row r="31" ht="19.5" customHeight="1">
      <c r="A31" s="67" t="s">
        <v>26</v>
      </c>
      <c r="B31" s="68"/>
      <c r="C31" s="68"/>
      <c r="D31" s="68"/>
      <c r="E31" s="68"/>
      <c r="F31" s="69"/>
      <c r="G31" s="67" t="s">
        <v>27</v>
      </c>
      <c r="H31" s="68"/>
      <c r="I31" s="68"/>
      <c r="J31" s="68"/>
      <c r="K31" s="68"/>
      <c r="L31" s="69"/>
      <c r="M31" s="67" t="s">
        <v>28</v>
      </c>
      <c r="N31" s="68"/>
      <c r="O31" s="68"/>
      <c r="P31" s="68"/>
      <c r="Q31" s="68"/>
      <c r="R31" s="69"/>
      <c r="S31" s="67" t="s">
        <v>29</v>
      </c>
      <c r="T31" s="68"/>
      <c r="U31" s="68"/>
      <c r="V31" s="68"/>
      <c r="W31" s="68"/>
      <c r="X31" s="69"/>
    </row>
    <row r="32" ht="12.0" customHeight="1">
      <c r="A32" s="80"/>
      <c r="B32" s="53"/>
      <c r="C32" s="53"/>
      <c r="D32" s="53"/>
      <c r="E32" s="53"/>
      <c r="F32" s="53"/>
      <c r="G32" s="80"/>
      <c r="H32" s="53"/>
      <c r="I32" s="53"/>
      <c r="J32" s="53"/>
      <c r="K32" s="53"/>
      <c r="L32" s="60"/>
      <c r="M32" s="85"/>
      <c r="N32" s="53"/>
      <c r="O32" s="53"/>
      <c r="P32" s="53"/>
      <c r="Q32" s="53"/>
      <c r="R32" s="53"/>
      <c r="S32" s="80"/>
      <c r="T32" s="53"/>
      <c r="U32" s="53"/>
      <c r="V32" s="53"/>
      <c r="W32" s="53"/>
      <c r="X32" s="60"/>
    </row>
    <row r="33" ht="12.0" customHeight="1">
      <c r="A33" s="54"/>
      <c r="G33" s="54"/>
      <c r="L33" s="48"/>
      <c r="S33" s="54"/>
      <c r="X33" s="48"/>
    </row>
    <row r="34" ht="12.0" customHeight="1">
      <c r="A34" s="54"/>
      <c r="G34" s="54"/>
      <c r="L34" s="48"/>
      <c r="S34" s="54"/>
      <c r="X34" s="48"/>
    </row>
    <row r="35" ht="12.0" customHeight="1">
      <c r="A35" s="54"/>
      <c r="G35" s="54"/>
      <c r="L35" s="48"/>
      <c r="S35" s="54"/>
      <c r="X35" s="48"/>
    </row>
    <row r="36" ht="12.0" customHeight="1">
      <c r="A36" s="54"/>
      <c r="G36" s="54"/>
      <c r="L36" s="48"/>
      <c r="S36" s="54"/>
      <c r="X36" s="48"/>
    </row>
    <row r="37" ht="12.0" customHeight="1">
      <c r="A37" s="54"/>
      <c r="G37" s="54"/>
      <c r="L37" s="48"/>
      <c r="S37" s="54"/>
      <c r="X37" s="48"/>
    </row>
    <row r="38" ht="12.0" customHeight="1">
      <c r="A38" s="54"/>
      <c r="G38" s="54"/>
      <c r="L38" s="48"/>
      <c r="S38" s="54"/>
      <c r="X38" s="48"/>
    </row>
    <row r="39" ht="12.0" customHeight="1">
      <c r="A39" s="54"/>
      <c r="G39" s="54"/>
      <c r="L39" s="48"/>
      <c r="S39" s="54"/>
      <c r="X39" s="48"/>
    </row>
    <row r="40" ht="12.0" customHeight="1">
      <c r="A40" s="54"/>
      <c r="G40" s="54"/>
      <c r="L40" s="48"/>
      <c r="S40" s="54"/>
      <c r="X40" s="48"/>
    </row>
    <row r="41" ht="12.0" customHeight="1">
      <c r="A41" s="54"/>
      <c r="G41" s="54"/>
      <c r="L41" s="48"/>
      <c r="S41" s="54"/>
      <c r="X41" s="48"/>
    </row>
    <row r="42" ht="12.0" customHeight="1">
      <c r="A42" s="54"/>
      <c r="G42" s="54"/>
      <c r="L42" s="48"/>
      <c r="S42" s="54"/>
      <c r="X42" s="48"/>
    </row>
    <row r="43" ht="12.0" customHeight="1">
      <c r="A43" s="54"/>
      <c r="G43" s="54"/>
      <c r="L43" s="48"/>
      <c r="S43" s="54"/>
      <c r="X43" s="48"/>
    </row>
    <row r="44" ht="12.0" customHeight="1">
      <c r="A44" s="54"/>
      <c r="G44" s="65"/>
      <c r="H44" s="4"/>
      <c r="I44" s="4"/>
      <c r="J44" s="4"/>
      <c r="K44" s="4"/>
      <c r="L44" s="66"/>
      <c r="S44" s="65"/>
      <c r="T44" s="4"/>
      <c r="U44" s="4"/>
      <c r="V44" s="4"/>
      <c r="W44" s="4"/>
      <c r="X44" s="66"/>
    </row>
    <row r="45" ht="19.5" customHeight="1">
      <c r="A45" s="67" t="s">
        <v>36</v>
      </c>
      <c r="B45" s="68"/>
      <c r="C45" s="68"/>
      <c r="D45" s="68"/>
      <c r="E45" s="68"/>
      <c r="F45" s="69"/>
      <c r="G45" s="67" t="s">
        <v>37</v>
      </c>
      <c r="H45" s="68"/>
      <c r="I45" s="68"/>
      <c r="J45" s="68"/>
      <c r="K45" s="68"/>
      <c r="L45" s="69"/>
      <c r="M45" s="67"/>
      <c r="N45" s="68"/>
      <c r="O45" s="68"/>
      <c r="P45" s="68"/>
      <c r="Q45" s="68"/>
      <c r="R45" s="69"/>
      <c r="S45" s="67"/>
      <c r="T45" s="68"/>
      <c r="U45" s="68"/>
      <c r="V45" s="68"/>
      <c r="W45" s="68"/>
      <c r="X45" s="69"/>
    </row>
    <row r="46" ht="12.0" customHeight="1"/>
    <row r="47" ht="12.0" customHeight="1"/>
    <row r="48" ht="12.0" customHeight="1"/>
    <row r="49" ht="12.0" customHeight="1"/>
    <row r="50" ht="12.0" customHeight="1"/>
    <row r="51" ht="12.0" customHeight="1"/>
    <row r="52" ht="12.0" customHeight="1"/>
    <row r="53" ht="12.0" customHeight="1"/>
    <row r="54" ht="12.0" customHeight="1"/>
    <row r="55" ht="12.0" customHeight="1"/>
    <row r="56" ht="12.0" customHeight="1"/>
    <row r="57" ht="12.0" customHeight="1"/>
    <row r="58" ht="12.0" customHeight="1"/>
    <row r="59" ht="12.0" customHeight="1"/>
    <row r="60" ht="12.0" customHeight="1"/>
    <row r="61" ht="12.0" customHeight="1"/>
    <row r="62" ht="12.0" customHeight="1"/>
    <row r="63" ht="12.0" customHeight="1"/>
    <row r="64" ht="12.0" customHeight="1"/>
    <row r="65" ht="12.0" customHeight="1"/>
    <row r="66" ht="12.0" customHeight="1"/>
    <row r="67" ht="12.0" customHeight="1"/>
    <row r="68" ht="12.0" customHeight="1"/>
    <row r="69" ht="12.0" customHeight="1"/>
    <row r="70" ht="12.0" customHeight="1"/>
    <row r="71" ht="12.0" customHeight="1"/>
    <row r="72" ht="12.0" customHeight="1"/>
    <row r="73" ht="12.0" customHeight="1"/>
    <row r="74" ht="12.0" customHeight="1"/>
    <row r="75" ht="12.0" customHeight="1"/>
    <row r="76" ht="12.0" customHeight="1"/>
    <row r="77" ht="12.0" customHeight="1"/>
    <row r="78" ht="12.0" customHeight="1"/>
    <row r="79" ht="12.0" customHeight="1"/>
    <row r="80" ht="12.0" customHeight="1"/>
    <row r="81" ht="12.0" customHeight="1"/>
    <row r="82" ht="12.0" customHeight="1"/>
    <row r="83" ht="12.0" customHeight="1"/>
    <row r="84" ht="12.0" customHeight="1"/>
    <row r="85" ht="12.0" customHeight="1"/>
    <row r="86" ht="12.0" customHeight="1"/>
    <row r="87" ht="12.0" customHeight="1"/>
    <row r="88" ht="12.0" customHeight="1"/>
    <row r="89" ht="12.0" customHeight="1"/>
    <row r="90" ht="12.0" customHeight="1"/>
    <row r="91" ht="12.0" customHeight="1"/>
    <row r="92" ht="12.0" customHeight="1"/>
    <row r="93" ht="12.0" customHeight="1"/>
    <row r="94" ht="12.0" customHeight="1"/>
    <row r="95" ht="12.0" customHeight="1"/>
    <row r="96" ht="12.0" customHeight="1"/>
    <row r="97" ht="12.0" customHeight="1"/>
    <row r="98" ht="12.0" customHeight="1"/>
    <row r="99" ht="12.0" customHeight="1"/>
    <row r="100" ht="12.0" customHeight="1"/>
    <row r="101" ht="12.0" customHeight="1"/>
    <row r="102" ht="12.0" customHeight="1"/>
    <row r="103" ht="12.0" customHeight="1"/>
    <row r="104" ht="12.0" customHeight="1"/>
    <row r="105" ht="12.0" customHeight="1"/>
    <row r="106" ht="12.0" customHeight="1"/>
    <row r="107" ht="12.0" customHeight="1"/>
    <row r="108" ht="12.0" customHeight="1"/>
    <row r="109" ht="12.0" customHeight="1"/>
    <row r="110" ht="12.0" customHeight="1"/>
    <row r="111" ht="12.0" customHeight="1"/>
    <row r="112" ht="12.0" customHeight="1"/>
    <row r="113" ht="12.0" customHeight="1"/>
    <row r="114" ht="12.0" customHeight="1"/>
    <row r="115" ht="12.0" customHeight="1"/>
    <row r="116" ht="12.0" customHeight="1"/>
    <row r="117" ht="12.0" customHeight="1"/>
    <row r="118" ht="12.0" customHeight="1"/>
    <row r="119" ht="12.0" customHeight="1"/>
    <row r="120" ht="12.0" customHeight="1"/>
    <row r="121" ht="12.0" customHeight="1"/>
    <row r="122" ht="12.0" customHeight="1"/>
    <row r="123" ht="12.0" customHeight="1"/>
    <row r="124" ht="12.0" customHeight="1"/>
    <row r="125" ht="12.0" customHeight="1"/>
    <row r="126" ht="12.0" customHeight="1"/>
    <row r="127" ht="12.0" customHeight="1"/>
    <row r="128" ht="12.0" customHeight="1"/>
    <row r="129" ht="12.0" customHeight="1"/>
    <row r="130" ht="12.0" customHeight="1"/>
    <row r="131" ht="12.0" customHeight="1"/>
    <row r="132" ht="12.0" customHeight="1"/>
    <row r="133" ht="12.0" customHeight="1"/>
    <row r="134" ht="12.0" customHeight="1"/>
    <row r="135" ht="12.0" customHeight="1"/>
    <row r="136" ht="12.0" customHeight="1"/>
    <row r="137" ht="12.0" customHeight="1"/>
    <row r="138" ht="12.0" customHeight="1"/>
    <row r="139" ht="12.0" customHeight="1"/>
    <row r="140" ht="12.0" customHeight="1"/>
    <row r="141" ht="12.0" customHeight="1"/>
    <row r="142" ht="12.0" customHeight="1"/>
    <row r="143" ht="12.0" customHeight="1"/>
    <row r="144" ht="12.0" customHeight="1"/>
    <row r="145" ht="12.0" customHeight="1"/>
    <row r="146" ht="12.0" customHeight="1"/>
    <row r="147" ht="12.0" customHeight="1"/>
    <row r="148" ht="12.0" customHeight="1"/>
    <row r="149" ht="12.0" customHeight="1"/>
    <row r="150" ht="12.0" customHeight="1"/>
    <row r="151" ht="12.0" customHeight="1"/>
    <row r="152" ht="12.0" customHeight="1"/>
    <row r="153" ht="12.0" customHeight="1"/>
    <row r="154" ht="12.0" customHeight="1"/>
    <row r="155" ht="12.0" customHeight="1"/>
    <row r="156" ht="12.0" customHeight="1"/>
    <row r="157" ht="12.0" customHeight="1"/>
    <row r="158" ht="12.0" customHeight="1"/>
    <row r="159" ht="12.0" customHeight="1"/>
    <row r="160" ht="12.0" customHeight="1"/>
    <row r="161" ht="12.0" customHeight="1"/>
    <row r="162" ht="12.0" customHeight="1"/>
    <row r="163" ht="12.0" customHeight="1"/>
    <row r="164" ht="12.0" customHeight="1"/>
    <row r="165" ht="12.0" customHeight="1"/>
    <row r="166" ht="12.0" customHeight="1"/>
    <row r="167" ht="12.0" customHeight="1"/>
    <row r="168" ht="12.0" customHeight="1"/>
    <row r="169" ht="12.0" customHeight="1"/>
    <row r="170" ht="12.0" customHeight="1"/>
    <row r="171" ht="12.0" customHeight="1"/>
    <row r="172" ht="12.0" customHeight="1"/>
    <row r="173" ht="12.0" customHeight="1"/>
    <row r="174" ht="12.0" customHeight="1"/>
    <row r="175" ht="12.0" customHeight="1"/>
    <row r="176" ht="12.0" customHeight="1"/>
    <row r="177" ht="12.0" customHeight="1"/>
    <row r="178" ht="12.0" customHeight="1"/>
    <row r="179" ht="12.0" customHeight="1"/>
    <row r="180" ht="12.0" customHeight="1"/>
    <row r="181" ht="12.0" customHeight="1"/>
    <row r="182" ht="12.0" customHeight="1"/>
    <row r="183" ht="12.0" customHeight="1"/>
    <row r="184" ht="12.0" customHeight="1"/>
    <row r="185" ht="12.0" customHeight="1"/>
    <row r="186" ht="12.0" customHeight="1"/>
    <row r="187" ht="12.0" customHeight="1"/>
    <row r="188" ht="12.0" customHeight="1"/>
    <row r="189" ht="12.0" customHeight="1"/>
    <row r="190" ht="12.0" customHeight="1"/>
    <row r="191" ht="12.0" customHeight="1"/>
    <row r="192" ht="12.0" customHeight="1"/>
    <row r="193" ht="12.0" customHeight="1"/>
    <row r="194" ht="12.0" customHeight="1"/>
    <row r="195" ht="12.0" customHeight="1"/>
    <row r="196" ht="12.0" customHeight="1"/>
    <row r="197" ht="12.0" customHeight="1"/>
    <row r="198" ht="12.0" customHeight="1"/>
    <row r="199" ht="12.0" customHeight="1"/>
    <row r="200" ht="12.0" customHeight="1"/>
    <row r="201" ht="12.0" customHeight="1"/>
    <row r="202" ht="12.0" customHeight="1"/>
    <row r="203" ht="12.0" customHeight="1"/>
    <row r="204" ht="12.0" customHeight="1"/>
    <row r="205" ht="12.0" customHeight="1"/>
    <row r="206" ht="12.0" customHeight="1"/>
    <row r="207" ht="12.0" customHeight="1"/>
    <row r="208" ht="12.0" customHeight="1"/>
    <row r="209" ht="12.0" customHeight="1"/>
    <row r="210" ht="12.0" customHeight="1"/>
    <row r="211" ht="12.0" customHeight="1"/>
    <row r="212" ht="12.0" customHeight="1"/>
    <row r="213" ht="12.0" customHeight="1"/>
    <row r="214" ht="12.0" customHeight="1"/>
    <row r="215" ht="12.0" customHeight="1"/>
    <row r="216" ht="12.0" customHeight="1"/>
    <row r="217" ht="12.0" customHeight="1"/>
    <row r="218" ht="12.0" customHeight="1"/>
    <row r="219" ht="12.0" customHeight="1"/>
    <row r="220" ht="12.0" customHeight="1"/>
    <row r="221" ht="12.0" customHeight="1"/>
    <row r="222" ht="12.0" customHeight="1"/>
    <row r="223" ht="12.0" customHeight="1"/>
    <row r="224" ht="12.0" customHeight="1"/>
    <row r="225" ht="12.0" customHeight="1"/>
    <row r="226" ht="12.0" customHeight="1"/>
    <row r="227" ht="12.0" customHeight="1"/>
    <row r="228" ht="12.0" customHeight="1"/>
    <row r="229" ht="12.0" customHeight="1"/>
    <row r="230" ht="12.0" customHeight="1"/>
    <row r="231" ht="12.0" customHeight="1"/>
    <row r="232" ht="12.0" customHeight="1"/>
    <row r="233" ht="12.0" customHeight="1"/>
    <row r="234" ht="12.0" customHeight="1"/>
    <row r="235" ht="12.0" customHeight="1"/>
    <row r="236" ht="12.0" customHeight="1"/>
    <row r="237" ht="12.0" customHeight="1"/>
    <row r="238" ht="12.0" customHeight="1"/>
    <row r="239" ht="12.0" customHeight="1"/>
    <row r="240" ht="12.0" customHeight="1"/>
    <row r="241" ht="12.0" customHeight="1"/>
    <row r="242" ht="12.0" customHeight="1"/>
    <row r="243" ht="12.0" customHeight="1"/>
    <row r="244" ht="12.0" customHeight="1"/>
    <row r="245" ht="12.0" customHeight="1"/>
    <row r="246" ht="12.0" customHeight="1"/>
    <row r="247" ht="12.0" customHeight="1"/>
    <row r="248" ht="12.0" customHeight="1"/>
    <row r="249" ht="12.0" customHeight="1"/>
    <row r="250" ht="12.0" customHeight="1"/>
    <row r="251" ht="12.0" customHeight="1"/>
    <row r="252" ht="12.0" customHeight="1"/>
    <row r="253" ht="12.0" customHeight="1"/>
    <row r="254" ht="12.0" customHeight="1"/>
    <row r="255" ht="12.0" customHeight="1"/>
    <row r="256" ht="12.0" customHeight="1"/>
    <row r="257" ht="12.0" customHeight="1"/>
    <row r="258" ht="12.0" customHeight="1"/>
    <row r="259" ht="12.0" customHeight="1"/>
    <row r="260" ht="12.0" customHeight="1"/>
    <row r="261" ht="12.0" customHeight="1"/>
    <row r="262" ht="12.0" customHeight="1"/>
    <row r="263" ht="12.0" customHeight="1"/>
    <row r="264" ht="12.0" customHeight="1"/>
    <row r="265" ht="12.0" customHeight="1"/>
    <row r="266" ht="12.0" customHeight="1"/>
    <row r="267" ht="12.0" customHeight="1"/>
    <row r="268" ht="12.0" customHeight="1"/>
    <row r="269" ht="12.0" customHeight="1"/>
    <row r="270" ht="12.0" customHeight="1"/>
    <row r="271" ht="12.0" customHeight="1"/>
    <row r="272" ht="12.0" customHeight="1"/>
    <row r="273" ht="12.0" customHeight="1"/>
    <row r="274" ht="12.0" customHeight="1"/>
    <row r="275" ht="12.0" customHeight="1"/>
    <row r="276" ht="12.0" customHeight="1"/>
    <row r="277" ht="12.0" customHeight="1"/>
    <row r="278" ht="12.0" customHeight="1"/>
    <row r="279" ht="12.0" customHeight="1"/>
    <row r="280" ht="12.0" customHeight="1"/>
    <row r="281" ht="12.0" customHeight="1"/>
    <row r="282" ht="12.0" customHeight="1"/>
    <row r="283" ht="12.0" customHeight="1"/>
    <row r="284" ht="12.0" customHeight="1"/>
    <row r="285" ht="12.0" customHeight="1"/>
    <row r="286" ht="12.0" customHeight="1"/>
    <row r="287" ht="12.0" customHeight="1"/>
    <row r="288" ht="12.0" customHeight="1"/>
    <row r="289" ht="12.0" customHeight="1"/>
    <row r="290" ht="12.0" customHeight="1"/>
    <row r="291" ht="12.0" customHeight="1"/>
    <row r="292" ht="12.0" customHeight="1"/>
    <row r="293" ht="12.0" customHeight="1"/>
    <row r="294" ht="12.0" customHeight="1"/>
    <row r="295" ht="12.0" customHeight="1"/>
    <row r="296" ht="12.0" customHeight="1"/>
    <row r="297" ht="12.0" customHeight="1"/>
    <row r="298" ht="12.0" customHeight="1"/>
    <row r="299" ht="12.0" customHeight="1"/>
    <row r="300" ht="12.0" customHeight="1"/>
    <row r="301" ht="12.0" customHeight="1"/>
    <row r="302" ht="12.0" customHeight="1"/>
    <row r="303" ht="12.0" customHeight="1"/>
    <row r="304" ht="12.0" customHeight="1"/>
    <row r="305" ht="12.0" customHeight="1"/>
    <row r="306" ht="12.0" customHeight="1"/>
    <row r="307" ht="12.0" customHeight="1"/>
    <row r="308" ht="12.0" customHeight="1"/>
    <row r="309" ht="12.0" customHeight="1"/>
    <row r="310" ht="12.0" customHeight="1"/>
    <row r="311" ht="12.0" customHeight="1"/>
    <row r="312" ht="12.0" customHeight="1"/>
    <row r="313" ht="12.0" customHeight="1"/>
    <row r="314" ht="12.0" customHeight="1"/>
    <row r="315" ht="12.0" customHeight="1"/>
    <row r="316" ht="12.0" customHeight="1"/>
    <row r="317" ht="12.0" customHeight="1"/>
    <row r="318" ht="12.0" customHeight="1"/>
    <row r="319" ht="12.0" customHeight="1"/>
    <row r="320" ht="12.0" customHeight="1"/>
    <row r="321" ht="12.0" customHeight="1"/>
    <row r="322" ht="12.0" customHeight="1"/>
    <row r="323" ht="12.0" customHeight="1"/>
    <row r="324" ht="12.0" customHeight="1"/>
    <row r="325" ht="12.0" customHeight="1"/>
    <row r="326" ht="12.0" customHeight="1"/>
    <row r="327" ht="12.0" customHeight="1"/>
    <row r="328" ht="12.0" customHeight="1"/>
    <row r="329" ht="12.0" customHeight="1"/>
    <row r="330" ht="12.0" customHeight="1"/>
    <row r="331" ht="12.0" customHeight="1"/>
    <row r="332" ht="12.0" customHeight="1"/>
    <row r="333" ht="12.0" customHeight="1"/>
    <row r="334" ht="12.0" customHeight="1"/>
    <row r="335" ht="12.0" customHeight="1"/>
    <row r="336" ht="12.0" customHeight="1"/>
    <row r="337" ht="12.0" customHeight="1"/>
    <row r="338" ht="12.0" customHeight="1"/>
    <row r="339" ht="12.0" customHeight="1"/>
    <row r="340" ht="12.0" customHeight="1"/>
    <row r="341" ht="12.0" customHeight="1"/>
    <row r="342" ht="12.0" customHeight="1"/>
    <row r="343" ht="12.0" customHeight="1"/>
    <row r="344" ht="12.0" customHeight="1"/>
    <row r="345" ht="12.0" customHeight="1"/>
    <row r="346" ht="12.0" customHeight="1"/>
    <row r="347" ht="12.0" customHeight="1"/>
    <row r="348" ht="12.0" customHeight="1"/>
    <row r="349" ht="12.0" customHeight="1"/>
    <row r="350" ht="12.0" customHeight="1"/>
    <row r="351" ht="12.0" customHeight="1"/>
    <row r="352" ht="12.0" customHeight="1"/>
    <row r="353" ht="12.0" customHeight="1"/>
    <row r="354" ht="12.0" customHeight="1"/>
    <row r="355" ht="12.0" customHeight="1"/>
    <row r="356" ht="12.0" customHeight="1"/>
    <row r="357" ht="12.0" customHeight="1"/>
    <row r="358" ht="12.0" customHeight="1"/>
    <row r="359" ht="12.0" customHeight="1"/>
    <row r="360" ht="12.0" customHeight="1"/>
    <row r="361" ht="12.0" customHeight="1"/>
    <row r="362" ht="12.0" customHeight="1"/>
    <row r="363" ht="12.0" customHeight="1"/>
    <row r="364" ht="12.0" customHeight="1"/>
    <row r="365" ht="12.0" customHeight="1"/>
    <row r="366" ht="12.0" customHeight="1"/>
    <row r="367" ht="12.0" customHeight="1"/>
    <row r="368" ht="12.0" customHeight="1"/>
    <row r="369" ht="12.0" customHeight="1"/>
    <row r="370" ht="12.0" customHeight="1"/>
    <row r="371" ht="12.0" customHeight="1"/>
    <row r="372" ht="12.0" customHeight="1"/>
    <row r="373" ht="12.0" customHeight="1"/>
    <row r="374" ht="12.0" customHeight="1"/>
    <row r="375" ht="12.0" customHeight="1"/>
    <row r="376" ht="12.0" customHeight="1"/>
    <row r="377" ht="12.0" customHeight="1"/>
    <row r="378" ht="12.0" customHeight="1"/>
    <row r="379" ht="12.0" customHeight="1"/>
    <row r="380" ht="12.0" customHeight="1"/>
    <row r="381" ht="12.0" customHeight="1"/>
    <row r="382" ht="12.0" customHeight="1"/>
    <row r="383" ht="12.0" customHeight="1"/>
    <row r="384" ht="12.0" customHeight="1"/>
    <row r="385" ht="12.0" customHeight="1"/>
    <row r="386" ht="12.0" customHeight="1"/>
    <row r="387" ht="12.0" customHeight="1"/>
    <row r="388" ht="12.0" customHeight="1"/>
    <row r="389" ht="12.0" customHeight="1"/>
    <row r="390" ht="12.0" customHeight="1"/>
    <row r="391" ht="12.0" customHeight="1"/>
    <row r="392" ht="12.0" customHeight="1"/>
    <row r="393" ht="12.0" customHeight="1"/>
    <row r="394" ht="12.0" customHeight="1"/>
    <row r="395" ht="12.0" customHeight="1"/>
    <row r="396" ht="12.0" customHeight="1"/>
    <row r="397" ht="12.0" customHeight="1"/>
    <row r="398" ht="12.0" customHeight="1"/>
    <row r="399" ht="12.0" customHeight="1"/>
    <row r="400" ht="12.0" customHeight="1"/>
    <row r="401" ht="12.0" customHeight="1"/>
    <row r="402" ht="12.0" customHeight="1"/>
    <row r="403" ht="12.0" customHeight="1"/>
    <row r="404" ht="12.0" customHeight="1"/>
    <row r="405" ht="12.0" customHeight="1"/>
    <row r="406" ht="12.0" customHeight="1"/>
    <row r="407" ht="12.0" customHeight="1"/>
    <row r="408" ht="12.0" customHeight="1"/>
    <row r="409" ht="12.0" customHeight="1"/>
    <row r="410" ht="12.0" customHeight="1"/>
    <row r="411" ht="12.0" customHeight="1"/>
    <row r="412" ht="12.0" customHeight="1"/>
    <row r="413" ht="12.0" customHeight="1"/>
    <row r="414" ht="12.0" customHeight="1"/>
    <row r="415" ht="12.0" customHeight="1"/>
    <row r="416" ht="12.0" customHeight="1"/>
    <row r="417" ht="12.0" customHeight="1"/>
    <row r="418" ht="12.0" customHeight="1"/>
    <row r="419" ht="12.0" customHeight="1"/>
    <row r="420" ht="12.0" customHeight="1"/>
    <row r="421" ht="12.0" customHeight="1"/>
    <row r="422" ht="12.0" customHeight="1"/>
    <row r="423" ht="12.0" customHeight="1"/>
    <row r="424" ht="12.0" customHeight="1"/>
    <row r="425" ht="12.0" customHeight="1"/>
    <row r="426" ht="12.0" customHeight="1"/>
    <row r="427" ht="12.0" customHeight="1"/>
    <row r="428" ht="12.0" customHeight="1"/>
    <row r="429" ht="12.0" customHeight="1"/>
    <row r="430" ht="12.0" customHeight="1"/>
    <row r="431" ht="12.0" customHeight="1"/>
    <row r="432" ht="12.0" customHeight="1"/>
    <row r="433" ht="12.0" customHeight="1"/>
    <row r="434" ht="12.0" customHeight="1"/>
    <row r="435" ht="12.0" customHeight="1"/>
    <row r="436" ht="12.0" customHeight="1"/>
    <row r="437" ht="12.0" customHeight="1"/>
    <row r="438" ht="12.0" customHeight="1"/>
    <row r="439" ht="12.0" customHeight="1"/>
    <row r="440" ht="12.0" customHeight="1"/>
    <row r="441" ht="12.0" customHeight="1"/>
    <row r="442" ht="12.0" customHeight="1"/>
    <row r="443" ht="12.0" customHeight="1"/>
    <row r="444" ht="12.0" customHeight="1"/>
    <row r="445" ht="12.0" customHeight="1"/>
    <row r="446" ht="12.0" customHeight="1"/>
    <row r="447" ht="12.0" customHeight="1"/>
    <row r="448" ht="12.0" customHeight="1"/>
    <row r="449" ht="12.0" customHeight="1"/>
    <row r="450" ht="12.0" customHeight="1"/>
    <row r="451" ht="12.0" customHeight="1"/>
    <row r="452" ht="12.0" customHeight="1"/>
    <row r="453" ht="12.0" customHeight="1"/>
    <row r="454" ht="12.0" customHeight="1"/>
    <row r="455" ht="12.0" customHeight="1"/>
    <row r="456" ht="12.0" customHeight="1"/>
    <row r="457" ht="12.0" customHeight="1"/>
    <row r="458" ht="12.0" customHeight="1"/>
    <row r="459" ht="12.0" customHeight="1"/>
    <row r="460" ht="12.0" customHeight="1"/>
    <row r="461" ht="12.0" customHeight="1"/>
    <row r="462" ht="12.0" customHeight="1"/>
    <row r="463" ht="12.0" customHeight="1"/>
    <row r="464" ht="12.0" customHeight="1"/>
    <row r="465" ht="12.0" customHeight="1"/>
    <row r="466" ht="12.0" customHeight="1"/>
    <row r="467" ht="12.0" customHeight="1"/>
    <row r="468" ht="12.0" customHeight="1"/>
    <row r="469" ht="12.0" customHeight="1"/>
    <row r="470" ht="12.0" customHeight="1"/>
    <row r="471" ht="12.0" customHeight="1"/>
    <row r="472" ht="12.0" customHeight="1"/>
    <row r="473" ht="12.0" customHeight="1"/>
    <row r="474" ht="12.0" customHeight="1"/>
    <row r="475" ht="12.0" customHeight="1"/>
    <row r="476" ht="12.0" customHeight="1"/>
    <row r="477" ht="12.0" customHeight="1"/>
    <row r="478" ht="12.0" customHeight="1"/>
    <row r="479" ht="12.0" customHeight="1"/>
    <row r="480" ht="12.0" customHeight="1"/>
    <row r="481" ht="12.0" customHeight="1"/>
    <row r="482" ht="12.0" customHeight="1"/>
    <row r="483" ht="12.0" customHeight="1"/>
    <row r="484" ht="12.0" customHeight="1"/>
    <row r="485" ht="12.0" customHeight="1"/>
    <row r="486" ht="12.0" customHeight="1"/>
    <row r="487" ht="12.0" customHeight="1"/>
    <row r="488" ht="12.0" customHeight="1"/>
    <row r="489" ht="12.0" customHeight="1"/>
    <row r="490" ht="12.0" customHeight="1"/>
    <row r="491" ht="12.0" customHeight="1"/>
    <row r="492" ht="12.0" customHeight="1"/>
    <row r="493" ht="12.0" customHeight="1"/>
    <row r="494" ht="12.0" customHeight="1"/>
    <row r="495" ht="12.0" customHeight="1"/>
    <row r="496" ht="12.0" customHeight="1"/>
    <row r="497" ht="12.0" customHeight="1"/>
    <row r="498" ht="12.0" customHeight="1"/>
    <row r="499" ht="12.0" customHeight="1"/>
    <row r="500" ht="12.0" customHeight="1"/>
    <row r="501" ht="12.0" customHeight="1"/>
    <row r="502" ht="12.0" customHeight="1"/>
    <row r="503" ht="12.0" customHeight="1"/>
    <row r="504" ht="12.0" customHeight="1"/>
    <row r="505" ht="12.0" customHeight="1"/>
    <row r="506" ht="12.0" customHeight="1"/>
    <row r="507" ht="12.0" customHeight="1"/>
    <row r="508" ht="12.0" customHeight="1"/>
    <row r="509" ht="12.0" customHeight="1"/>
    <row r="510" ht="12.0" customHeight="1"/>
    <row r="511" ht="12.0" customHeight="1"/>
    <row r="512" ht="12.0" customHeight="1"/>
    <row r="513" ht="12.0" customHeight="1"/>
    <row r="514" ht="12.0" customHeight="1"/>
    <row r="515" ht="12.0" customHeight="1"/>
    <row r="516" ht="12.0" customHeight="1"/>
    <row r="517" ht="12.0" customHeight="1"/>
    <row r="518" ht="12.0" customHeight="1"/>
    <row r="519" ht="12.0" customHeight="1"/>
    <row r="520" ht="12.0" customHeight="1"/>
    <row r="521" ht="12.0" customHeight="1"/>
    <row r="522" ht="12.0" customHeight="1"/>
    <row r="523" ht="12.0" customHeight="1"/>
    <row r="524" ht="12.0" customHeight="1"/>
    <row r="525" ht="12.0" customHeight="1"/>
    <row r="526" ht="12.0" customHeight="1"/>
    <row r="527" ht="12.0" customHeight="1"/>
    <row r="528" ht="12.0" customHeight="1"/>
    <row r="529" ht="12.0" customHeight="1"/>
    <row r="530" ht="12.0" customHeight="1"/>
    <row r="531" ht="12.0" customHeight="1"/>
    <row r="532" ht="12.0" customHeight="1"/>
    <row r="533" ht="12.0" customHeight="1"/>
    <row r="534" ht="12.0" customHeight="1"/>
    <row r="535" ht="12.0" customHeight="1"/>
    <row r="536" ht="12.0" customHeight="1"/>
    <row r="537" ht="12.0" customHeight="1"/>
    <row r="538" ht="12.0" customHeight="1"/>
    <row r="539" ht="12.0" customHeight="1"/>
    <row r="540" ht="12.0" customHeight="1"/>
    <row r="541" ht="12.0" customHeight="1"/>
    <row r="542" ht="12.0" customHeight="1"/>
    <row r="543" ht="12.0" customHeight="1"/>
    <row r="544" ht="12.0" customHeight="1"/>
    <row r="545" ht="12.0" customHeight="1"/>
    <row r="546" ht="12.0" customHeight="1"/>
    <row r="547" ht="12.0" customHeight="1"/>
    <row r="548" ht="12.0" customHeight="1"/>
    <row r="549" ht="12.0" customHeight="1"/>
    <row r="550" ht="12.0" customHeight="1"/>
    <row r="551" ht="12.0" customHeight="1"/>
    <row r="552" ht="12.0" customHeight="1"/>
    <row r="553" ht="12.0" customHeight="1"/>
    <row r="554" ht="12.0" customHeight="1"/>
    <row r="555" ht="12.0" customHeight="1"/>
    <row r="556" ht="12.0" customHeight="1"/>
    <row r="557" ht="12.0" customHeight="1"/>
    <row r="558" ht="12.0" customHeight="1"/>
    <row r="559" ht="12.0" customHeight="1"/>
    <row r="560" ht="12.0" customHeight="1"/>
    <row r="561" ht="12.0" customHeight="1"/>
    <row r="562" ht="12.0" customHeight="1"/>
    <row r="563" ht="12.0" customHeight="1"/>
    <row r="564" ht="12.0" customHeight="1"/>
    <row r="565" ht="12.0" customHeight="1"/>
    <row r="566" ht="12.0" customHeight="1"/>
    <row r="567" ht="12.0" customHeight="1"/>
    <row r="568" ht="12.0" customHeight="1"/>
    <row r="569" ht="12.0" customHeight="1"/>
    <row r="570" ht="12.0" customHeight="1"/>
    <row r="571" ht="12.0" customHeight="1"/>
    <row r="572" ht="12.0" customHeight="1"/>
    <row r="573" ht="12.0" customHeight="1"/>
    <row r="574" ht="12.0" customHeight="1"/>
    <row r="575" ht="12.0" customHeight="1"/>
    <row r="576" ht="12.0" customHeight="1"/>
    <row r="577" ht="12.0" customHeight="1"/>
    <row r="578" ht="12.0" customHeight="1"/>
    <row r="579" ht="12.0" customHeight="1"/>
    <row r="580" ht="12.0" customHeight="1"/>
    <row r="581" ht="12.0" customHeight="1"/>
    <row r="582" ht="12.0" customHeight="1"/>
    <row r="583" ht="12.0" customHeight="1"/>
    <row r="584" ht="12.0" customHeight="1"/>
    <row r="585" ht="12.0" customHeight="1"/>
    <row r="586" ht="12.0" customHeight="1"/>
    <row r="587" ht="12.0" customHeight="1"/>
    <row r="588" ht="12.0" customHeight="1"/>
    <row r="589" ht="12.0" customHeight="1"/>
    <row r="590" ht="12.0" customHeight="1"/>
    <row r="591" ht="12.0" customHeight="1"/>
    <row r="592" ht="12.0" customHeight="1"/>
    <row r="593" ht="12.0" customHeight="1"/>
    <row r="594" ht="12.0" customHeight="1"/>
    <row r="595" ht="12.0" customHeight="1"/>
    <row r="596" ht="12.0" customHeight="1"/>
    <row r="597" ht="12.0" customHeight="1"/>
    <row r="598" ht="12.0" customHeight="1"/>
    <row r="599" ht="12.0" customHeight="1"/>
    <row r="600" ht="12.0" customHeight="1"/>
    <row r="601" ht="12.0" customHeight="1"/>
    <row r="602" ht="12.0" customHeight="1"/>
    <row r="603" ht="12.0" customHeight="1"/>
    <row r="604" ht="12.0" customHeight="1"/>
    <row r="605" ht="12.0" customHeight="1"/>
    <row r="606" ht="12.0" customHeight="1"/>
    <row r="607" ht="12.0" customHeight="1"/>
    <row r="608" ht="12.0" customHeight="1"/>
    <row r="609" ht="12.0" customHeight="1"/>
    <row r="610" ht="12.0" customHeight="1"/>
    <row r="611" ht="12.0" customHeight="1"/>
    <row r="612" ht="12.0" customHeight="1"/>
    <row r="613" ht="12.0" customHeight="1"/>
    <row r="614" ht="12.0" customHeight="1"/>
    <row r="615" ht="12.0" customHeight="1"/>
    <row r="616" ht="12.0" customHeight="1"/>
    <row r="617" ht="12.0" customHeight="1"/>
    <row r="618" ht="12.0" customHeight="1"/>
    <row r="619" ht="12.0" customHeight="1"/>
    <row r="620" ht="12.0" customHeight="1"/>
    <row r="621" ht="12.0" customHeight="1"/>
    <row r="622" ht="12.0" customHeight="1"/>
    <row r="623" ht="12.0" customHeight="1"/>
    <row r="624" ht="12.0" customHeight="1"/>
    <row r="625" ht="12.0" customHeight="1"/>
    <row r="626" ht="12.0" customHeight="1"/>
    <row r="627" ht="12.0" customHeight="1"/>
    <row r="628" ht="12.0" customHeight="1"/>
    <row r="629" ht="12.0" customHeight="1"/>
    <row r="630" ht="12.0" customHeight="1"/>
    <row r="631" ht="12.0" customHeight="1"/>
    <row r="632" ht="12.0" customHeight="1"/>
    <row r="633" ht="12.0" customHeight="1"/>
    <row r="634" ht="12.0" customHeight="1"/>
    <row r="635" ht="12.0" customHeight="1"/>
    <row r="636" ht="12.0" customHeight="1"/>
    <row r="637" ht="12.0" customHeight="1"/>
    <row r="638" ht="12.0" customHeight="1"/>
    <row r="639" ht="12.0" customHeight="1"/>
    <row r="640" ht="12.0" customHeight="1"/>
    <row r="641" ht="12.0" customHeight="1"/>
    <row r="642" ht="12.0" customHeight="1"/>
    <row r="643" ht="12.0" customHeight="1"/>
    <row r="644" ht="12.0" customHeight="1"/>
    <row r="645" ht="12.0" customHeight="1"/>
    <row r="646" ht="12.0" customHeight="1"/>
    <row r="647" ht="12.0" customHeight="1"/>
    <row r="648" ht="12.0" customHeight="1"/>
    <row r="649" ht="12.0" customHeight="1"/>
    <row r="650" ht="12.0" customHeight="1"/>
    <row r="651" ht="12.0" customHeight="1"/>
    <row r="652" ht="12.0" customHeight="1"/>
    <row r="653" ht="12.0" customHeight="1"/>
    <row r="654" ht="12.0" customHeight="1"/>
    <row r="655" ht="12.0" customHeight="1"/>
    <row r="656" ht="12.0" customHeight="1"/>
    <row r="657" ht="12.0" customHeight="1"/>
    <row r="658" ht="12.0" customHeight="1"/>
    <row r="659" ht="12.0" customHeight="1"/>
    <row r="660" ht="12.0" customHeight="1"/>
    <row r="661" ht="12.0" customHeight="1"/>
    <row r="662" ht="12.0" customHeight="1"/>
    <row r="663" ht="12.0" customHeight="1"/>
    <row r="664" ht="12.0" customHeight="1"/>
    <row r="665" ht="12.0" customHeight="1"/>
    <row r="666" ht="12.0" customHeight="1"/>
    <row r="667" ht="12.0" customHeight="1"/>
    <row r="668" ht="12.0" customHeight="1"/>
    <row r="669" ht="12.0" customHeight="1"/>
    <row r="670" ht="12.0" customHeight="1"/>
    <row r="671" ht="12.0" customHeight="1"/>
    <row r="672" ht="12.0" customHeight="1"/>
    <row r="673" ht="12.0" customHeight="1"/>
    <row r="674" ht="12.0" customHeight="1"/>
    <row r="675" ht="12.0" customHeight="1"/>
    <row r="676" ht="12.0" customHeight="1"/>
    <row r="677" ht="12.0" customHeight="1"/>
    <row r="678" ht="12.0" customHeight="1"/>
    <row r="679" ht="12.0" customHeight="1"/>
    <row r="680" ht="12.0" customHeight="1"/>
    <row r="681" ht="12.0" customHeight="1"/>
    <row r="682" ht="12.0" customHeight="1"/>
    <row r="683" ht="12.0" customHeight="1"/>
    <row r="684" ht="12.0" customHeight="1"/>
    <row r="685" ht="12.0" customHeight="1"/>
    <row r="686" ht="12.0" customHeight="1"/>
    <row r="687" ht="12.0" customHeight="1"/>
    <row r="688" ht="12.0" customHeight="1"/>
    <row r="689" ht="12.0" customHeight="1"/>
    <row r="690" ht="12.0" customHeight="1"/>
    <row r="691" ht="12.0" customHeight="1"/>
    <row r="692" ht="12.0" customHeight="1"/>
    <row r="693" ht="12.0" customHeight="1"/>
    <row r="694" ht="12.0" customHeight="1"/>
    <row r="695" ht="12.0" customHeight="1"/>
    <row r="696" ht="12.0" customHeight="1"/>
    <row r="697" ht="12.0" customHeight="1"/>
    <row r="698" ht="12.0" customHeight="1"/>
    <row r="699" ht="12.0" customHeight="1"/>
    <row r="700" ht="12.0" customHeight="1"/>
    <row r="701" ht="12.0" customHeight="1"/>
    <row r="702" ht="12.0" customHeight="1"/>
    <row r="703" ht="12.0" customHeight="1"/>
    <row r="704" ht="12.0" customHeight="1"/>
    <row r="705" ht="12.0" customHeight="1"/>
    <row r="706" ht="12.0" customHeight="1"/>
    <row r="707" ht="12.0" customHeight="1"/>
    <row r="708" ht="12.0" customHeight="1"/>
    <row r="709" ht="12.0" customHeight="1"/>
    <row r="710" ht="12.0" customHeight="1"/>
    <row r="711" ht="12.0" customHeight="1"/>
    <row r="712" ht="12.0" customHeight="1"/>
    <row r="713" ht="12.0" customHeight="1"/>
    <row r="714" ht="12.0" customHeight="1"/>
    <row r="715" ht="12.0" customHeight="1"/>
    <row r="716" ht="12.0" customHeight="1"/>
    <row r="717" ht="12.0" customHeight="1"/>
    <row r="718" ht="12.0" customHeight="1"/>
    <row r="719" ht="12.0" customHeight="1"/>
    <row r="720" ht="12.0" customHeight="1"/>
    <row r="721" ht="12.0" customHeight="1"/>
    <row r="722" ht="12.0" customHeight="1"/>
    <row r="723" ht="12.0" customHeight="1"/>
    <row r="724" ht="12.0" customHeight="1"/>
    <row r="725" ht="12.0" customHeight="1"/>
    <row r="726" ht="12.0" customHeight="1"/>
    <row r="727" ht="12.0" customHeight="1"/>
    <row r="728" ht="12.0" customHeight="1"/>
    <row r="729" ht="12.0" customHeight="1"/>
    <row r="730" ht="12.0" customHeight="1"/>
    <row r="731" ht="12.0" customHeight="1"/>
    <row r="732" ht="12.0" customHeight="1"/>
    <row r="733" ht="12.0" customHeight="1"/>
    <row r="734" ht="12.0" customHeight="1"/>
    <row r="735" ht="12.0" customHeight="1"/>
    <row r="736" ht="12.0" customHeight="1"/>
    <row r="737" ht="12.0" customHeight="1"/>
    <row r="738" ht="12.0" customHeight="1"/>
    <row r="739" ht="12.0" customHeight="1"/>
    <row r="740" ht="12.0" customHeight="1"/>
    <row r="741" ht="12.0" customHeight="1"/>
    <row r="742" ht="12.0" customHeight="1"/>
    <row r="743" ht="12.0" customHeight="1"/>
    <row r="744" ht="12.0" customHeight="1"/>
    <row r="745" ht="12.0" customHeight="1"/>
    <row r="746" ht="12.0" customHeight="1"/>
    <row r="747" ht="12.0" customHeight="1"/>
    <row r="748" ht="12.0" customHeight="1"/>
    <row r="749" ht="12.0" customHeight="1"/>
    <row r="750" ht="12.0" customHeight="1"/>
    <row r="751" ht="12.0" customHeight="1"/>
    <row r="752" ht="12.0" customHeight="1"/>
    <row r="753" ht="12.0" customHeight="1"/>
    <row r="754" ht="12.0" customHeight="1"/>
    <row r="755" ht="12.0" customHeight="1"/>
    <row r="756" ht="12.0" customHeight="1"/>
    <row r="757" ht="12.0" customHeight="1"/>
    <row r="758" ht="12.0" customHeight="1"/>
    <row r="759" ht="12.0" customHeight="1"/>
    <row r="760" ht="12.0" customHeight="1"/>
    <row r="761" ht="12.0" customHeight="1"/>
    <row r="762" ht="12.0" customHeight="1"/>
    <row r="763" ht="12.0" customHeight="1"/>
    <row r="764" ht="12.0" customHeight="1"/>
    <row r="765" ht="12.0" customHeight="1"/>
    <row r="766" ht="12.0" customHeight="1"/>
    <row r="767" ht="12.0" customHeight="1"/>
    <row r="768" ht="12.0" customHeight="1"/>
    <row r="769" ht="12.0" customHeight="1"/>
    <row r="770" ht="12.0" customHeight="1"/>
    <row r="771" ht="12.0" customHeight="1"/>
    <row r="772" ht="12.0" customHeight="1"/>
    <row r="773" ht="12.0" customHeight="1"/>
    <row r="774" ht="12.0" customHeight="1"/>
    <row r="775" ht="12.0" customHeight="1"/>
    <row r="776" ht="12.0" customHeight="1"/>
    <row r="777" ht="12.0" customHeight="1"/>
    <row r="778" ht="12.0" customHeight="1"/>
    <row r="779" ht="12.0" customHeight="1"/>
    <row r="780" ht="12.0" customHeight="1"/>
    <row r="781" ht="12.0" customHeight="1"/>
    <row r="782" ht="12.0" customHeight="1"/>
    <row r="783" ht="12.0" customHeight="1"/>
    <row r="784" ht="12.0" customHeight="1"/>
    <row r="785" ht="12.0" customHeight="1"/>
    <row r="786" ht="12.0" customHeight="1"/>
    <row r="787" ht="12.0" customHeight="1"/>
    <row r="788" ht="12.0" customHeight="1"/>
    <row r="789" ht="12.0" customHeight="1"/>
    <row r="790" ht="12.0" customHeight="1"/>
    <row r="791" ht="12.0" customHeight="1"/>
    <row r="792" ht="12.0" customHeight="1"/>
    <row r="793" ht="12.0" customHeight="1"/>
    <row r="794" ht="12.0" customHeight="1"/>
    <row r="795" ht="12.0" customHeight="1"/>
    <row r="796" ht="12.0" customHeight="1"/>
    <row r="797" ht="12.0" customHeight="1"/>
    <row r="798" ht="12.0" customHeight="1"/>
    <row r="799" ht="12.0" customHeight="1"/>
    <row r="800" ht="12.0" customHeight="1"/>
    <row r="801" ht="12.0" customHeight="1"/>
    <row r="802" ht="12.0" customHeight="1"/>
    <row r="803" ht="12.0" customHeight="1"/>
    <row r="804" ht="12.0" customHeight="1"/>
    <row r="805" ht="12.0" customHeight="1"/>
    <row r="806" ht="12.0" customHeight="1"/>
    <row r="807" ht="12.0" customHeight="1"/>
    <row r="808" ht="12.0" customHeight="1"/>
    <row r="809" ht="12.0" customHeight="1"/>
    <row r="810" ht="12.0" customHeight="1"/>
    <row r="811" ht="12.0" customHeight="1"/>
    <row r="812" ht="12.0" customHeight="1"/>
    <row r="813" ht="12.0" customHeight="1"/>
    <row r="814" ht="12.0" customHeight="1"/>
    <row r="815" ht="12.0" customHeight="1"/>
    <row r="816" ht="12.0" customHeight="1"/>
    <row r="817" ht="12.0" customHeight="1"/>
    <row r="818" ht="12.0" customHeight="1"/>
    <row r="819" ht="12.0" customHeight="1"/>
    <row r="820" ht="12.0" customHeight="1"/>
    <row r="821" ht="12.0" customHeight="1"/>
    <row r="822" ht="12.0" customHeight="1"/>
    <row r="823" ht="12.0" customHeight="1"/>
    <row r="824" ht="12.0" customHeight="1"/>
    <row r="825" ht="12.0" customHeight="1"/>
    <row r="826" ht="12.0" customHeight="1"/>
    <row r="827" ht="12.0" customHeight="1"/>
    <row r="828" ht="12.0" customHeight="1"/>
    <row r="829" ht="12.0" customHeight="1"/>
    <row r="830" ht="12.0" customHeight="1"/>
    <row r="831" ht="12.0" customHeight="1"/>
    <row r="832" ht="12.0" customHeight="1"/>
    <row r="833" ht="12.0" customHeight="1"/>
    <row r="834" ht="12.0" customHeight="1"/>
    <row r="835" ht="12.0" customHeight="1"/>
    <row r="836" ht="12.0" customHeight="1"/>
    <row r="837" ht="12.0" customHeight="1"/>
    <row r="838" ht="12.0" customHeight="1"/>
    <row r="839" ht="12.0" customHeight="1"/>
    <row r="840" ht="12.0" customHeight="1"/>
    <row r="841" ht="12.0" customHeight="1"/>
    <row r="842" ht="12.0" customHeight="1"/>
    <row r="843" ht="12.0" customHeight="1"/>
    <row r="844" ht="12.0" customHeight="1"/>
    <row r="845" ht="12.0" customHeight="1"/>
    <row r="846" ht="12.0" customHeight="1"/>
    <row r="847" ht="12.0" customHeight="1"/>
    <row r="848" ht="12.0" customHeight="1"/>
    <row r="849" ht="12.0" customHeight="1"/>
    <row r="850" ht="12.0" customHeight="1"/>
    <row r="851" ht="12.0" customHeight="1"/>
    <row r="852" ht="12.0" customHeight="1"/>
    <row r="853" ht="12.0" customHeight="1"/>
    <row r="854" ht="12.0" customHeight="1"/>
    <row r="855" ht="12.0" customHeight="1"/>
    <row r="856" ht="12.0" customHeight="1"/>
    <row r="857" ht="12.0" customHeight="1"/>
    <row r="858" ht="12.0" customHeight="1"/>
    <row r="859" ht="12.0" customHeight="1"/>
    <row r="860" ht="12.0" customHeight="1"/>
    <row r="861" ht="12.0" customHeight="1"/>
    <row r="862" ht="12.0" customHeight="1"/>
    <row r="863" ht="12.0" customHeight="1"/>
    <row r="864" ht="12.0" customHeight="1"/>
    <row r="865" ht="12.0" customHeight="1"/>
    <row r="866" ht="12.0" customHeight="1"/>
    <row r="867" ht="12.0" customHeight="1"/>
    <row r="868" ht="12.0" customHeight="1"/>
    <row r="869" ht="12.0" customHeight="1"/>
    <row r="870" ht="12.0" customHeight="1"/>
    <row r="871" ht="12.0" customHeight="1"/>
    <row r="872" ht="12.0" customHeight="1"/>
    <row r="873" ht="12.0" customHeight="1"/>
    <row r="874" ht="12.0" customHeight="1"/>
    <row r="875" ht="12.0" customHeight="1"/>
    <row r="876" ht="12.0" customHeight="1"/>
    <row r="877" ht="12.0" customHeight="1"/>
    <row r="878" ht="12.0" customHeight="1"/>
    <row r="879" ht="12.0" customHeight="1"/>
    <row r="880" ht="12.0" customHeight="1"/>
    <row r="881" ht="12.0" customHeight="1"/>
    <row r="882" ht="12.0" customHeight="1"/>
    <row r="883" ht="12.0" customHeight="1"/>
    <row r="884" ht="12.0" customHeight="1"/>
    <row r="885" ht="12.0" customHeight="1"/>
    <row r="886" ht="12.0" customHeight="1"/>
    <row r="887" ht="12.0" customHeight="1"/>
    <row r="888" ht="12.0" customHeight="1"/>
    <row r="889" ht="12.0" customHeight="1"/>
    <row r="890" ht="12.0" customHeight="1"/>
    <row r="891" ht="12.0" customHeight="1"/>
    <row r="892" ht="12.0" customHeight="1"/>
    <row r="893" ht="12.0" customHeight="1"/>
    <row r="894" ht="12.0" customHeight="1"/>
    <row r="895" ht="12.0" customHeight="1"/>
    <row r="896" ht="12.0" customHeight="1"/>
    <row r="897" ht="12.0" customHeight="1"/>
    <row r="898" ht="12.0" customHeight="1"/>
    <row r="899" ht="12.0" customHeight="1"/>
    <row r="900" ht="12.0" customHeight="1"/>
    <row r="901" ht="12.0" customHeight="1"/>
    <row r="902" ht="12.0" customHeight="1"/>
    <row r="903" ht="12.0" customHeight="1"/>
    <row r="904" ht="12.0" customHeight="1"/>
    <row r="905" ht="12.0" customHeight="1"/>
    <row r="906" ht="12.0" customHeight="1"/>
    <row r="907" ht="12.0" customHeight="1"/>
    <row r="908" ht="12.0" customHeight="1"/>
    <row r="909" ht="12.0" customHeight="1"/>
    <row r="910" ht="12.0" customHeight="1"/>
    <row r="911" ht="12.0" customHeight="1"/>
    <row r="912" ht="12.0" customHeight="1"/>
    <row r="913" ht="12.0" customHeight="1"/>
    <row r="914" ht="12.0" customHeight="1"/>
    <row r="915" ht="12.0" customHeight="1"/>
    <row r="916" ht="12.0" customHeight="1"/>
    <row r="917" ht="12.0" customHeight="1"/>
    <row r="918" ht="12.0" customHeight="1"/>
    <row r="919" ht="12.0" customHeight="1"/>
    <row r="920" ht="12.0" customHeight="1"/>
    <row r="921" ht="12.0" customHeight="1"/>
    <row r="922" ht="12.0" customHeight="1"/>
    <row r="923" ht="12.0" customHeight="1"/>
    <row r="924" ht="12.0" customHeight="1"/>
    <row r="925" ht="12.0" customHeight="1"/>
    <row r="926" ht="12.0" customHeight="1"/>
    <row r="927" ht="12.0" customHeight="1"/>
    <row r="928" ht="12.0" customHeight="1"/>
    <row r="929" ht="12.0" customHeight="1"/>
    <row r="930" ht="12.0" customHeight="1"/>
    <row r="931" ht="12.0" customHeight="1"/>
    <row r="932" ht="12.0" customHeight="1"/>
    <row r="933" ht="12.0" customHeight="1"/>
    <row r="934" ht="12.0" customHeight="1"/>
    <row r="935" ht="12.0" customHeight="1"/>
    <row r="936" ht="12.0" customHeight="1"/>
    <row r="937" ht="12.0" customHeight="1"/>
    <row r="938" ht="12.0" customHeight="1"/>
    <row r="939" ht="12.0" customHeight="1"/>
    <row r="940" ht="12.0" customHeight="1"/>
    <row r="941" ht="12.0" customHeight="1"/>
    <row r="942" ht="12.0" customHeight="1"/>
    <row r="943" ht="12.0" customHeight="1"/>
    <row r="944" ht="12.0" customHeight="1"/>
    <row r="945" ht="12.0" customHeight="1"/>
    <row r="946" ht="12.0" customHeight="1"/>
    <row r="947" ht="12.0" customHeight="1"/>
    <row r="948" ht="12.0" customHeight="1"/>
    <row r="949" ht="12.0" customHeight="1"/>
    <row r="950" ht="12.0" customHeight="1"/>
    <row r="951" ht="12.0" customHeight="1"/>
    <row r="952" ht="12.0" customHeight="1"/>
    <row r="953" ht="12.0" customHeight="1"/>
    <row r="954" ht="12.0" customHeight="1"/>
    <row r="955" ht="12.0" customHeight="1"/>
    <row r="956" ht="12.0" customHeight="1"/>
    <row r="957" ht="12.0" customHeight="1"/>
    <row r="958" ht="12.0" customHeight="1"/>
    <row r="959" ht="12.0" customHeight="1"/>
    <row r="960" ht="12.0" customHeight="1"/>
    <row r="961" ht="12.0" customHeight="1"/>
    <row r="962" ht="12.0" customHeight="1"/>
    <row r="963" ht="12.0" customHeight="1"/>
    <row r="964" ht="12.0" customHeight="1"/>
    <row r="965" ht="12.0" customHeight="1"/>
    <row r="966" ht="12.0" customHeight="1"/>
    <row r="967" ht="12.0" customHeight="1"/>
    <row r="968" ht="12.0" customHeight="1"/>
    <row r="969" ht="12.0" customHeight="1"/>
    <row r="970" ht="12.0" customHeight="1"/>
    <row r="971" ht="12.0" customHeight="1"/>
    <row r="972" ht="12.0" customHeight="1"/>
    <row r="973" ht="12.0" customHeight="1"/>
    <row r="974" ht="12.0" customHeight="1"/>
    <row r="975" ht="12.0" customHeight="1"/>
    <row r="976" ht="12.0" customHeight="1"/>
    <row r="977" ht="12.0" customHeight="1"/>
    <row r="978" ht="12.0" customHeight="1"/>
    <row r="979" ht="12.0" customHeight="1"/>
    <row r="980" ht="12.0" customHeight="1"/>
    <row r="981" ht="12.0" customHeight="1"/>
    <row r="982" ht="12.0" customHeight="1"/>
    <row r="983" ht="12.0" customHeight="1"/>
    <row r="984" ht="12.0" customHeight="1"/>
    <row r="985" ht="12.0" customHeight="1"/>
    <row r="986" ht="12.0" customHeight="1"/>
    <row r="987" ht="12.0" customHeight="1"/>
    <row r="988" ht="12.0" customHeight="1"/>
    <row r="989" ht="12.0" customHeight="1"/>
    <row r="990" ht="12.0" customHeight="1"/>
    <row r="991" ht="12.0" customHeight="1"/>
    <row r="992" ht="12.0" customHeight="1"/>
    <row r="993" ht="12.0" customHeight="1"/>
    <row r="994" ht="12.0" customHeight="1"/>
    <row r="995" ht="12.0" customHeight="1"/>
    <row r="996" ht="12.0" customHeight="1"/>
    <row r="997" ht="12.0" customHeight="1"/>
    <row r="998" ht="12.0" customHeight="1"/>
    <row r="999" ht="12.0" customHeight="1"/>
    <row r="1000" ht="12.0" customHeight="1"/>
  </sheetData>
  <mergeCells count="31">
    <mergeCell ref="A1:X1"/>
    <mergeCell ref="A2:F2"/>
    <mergeCell ref="G2:M2"/>
    <mergeCell ref="N2:X2"/>
    <mergeCell ref="A3:F3"/>
    <mergeCell ref="G3:J3"/>
    <mergeCell ref="O3:V3"/>
    <mergeCell ref="A4:F16"/>
    <mergeCell ref="G4:L16"/>
    <mergeCell ref="M4:R16"/>
    <mergeCell ref="S4:X16"/>
    <mergeCell ref="G17:L17"/>
    <mergeCell ref="M17:R17"/>
    <mergeCell ref="S17:X17"/>
    <mergeCell ref="M31:R31"/>
    <mergeCell ref="S31:X31"/>
    <mergeCell ref="A32:F44"/>
    <mergeCell ref="G32:L44"/>
    <mergeCell ref="M32:R44"/>
    <mergeCell ref="S32:X44"/>
    <mergeCell ref="A45:F45"/>
    <mergeCell ref="G45:L45"/>
    <mergeCell ref="M45:R45"/>
    <mergeCell ref="S45:X45"/>
    <mergeCell ref="A17:F17"/>
    <mergeCell ref="A18:F30"/>
    <mergeCell ref="G18:L30"/>
    <mergeCell ref="M18:R30"/>
    <mergeCell ref="S18:X30"/>
    <mergeCell ref="A31:F31"/>
    <mergeCell ref="G31:L31"/>
  </mergeCells>
  <printOptions/>
  <pageMargins bottom="0.0" footer="0.0" header="0.0" left="0.0" right="0.0" top="0.0"/>
  <pageSetup paperSize="9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00000"/>
    <pageSetUpPr/>
  </sheetPr>
  <sheetViews>
    <sheetView workbookViewId="0"/>
  </sheetViews>
  <sheetFormatPr customHeight="1" defaultColWidth="12.63" defaultRowHeight="15.0"/>
  <cols>
    <col customWidth="1" min="1" max="11" width="14.75"/>
    <col customWidth="1" min="12" max="12" width="11.75"/>
    <col customWidth="1" min="13" max="15" width="14.75"/>
    <col customWidth="1" min="16" max="16" width="5.13"/>
    <col customWidth="1" min="17" max="17" width="22.0"/>
    <col customWidth="1" min="18" max="18" width="19.0"/>
    <col customWidth="1" min="19" max="19" width="22.63"/>
    <col customWidth="1" min="20" max="20" width="8.63"/>
    <col customWidth="1" min="21" max="26" width="10.25"/>
  </cols>
  <sheetData>
    <row r="1" ht="50.25" customHeight="1">
      <c r="A1" s="5" t="s">
        <v>2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9"/>
      <c r="V1" s="9"/>
      <c r="W1" s="9"/>
      <c r="X1" s="9"/>
      <c r="Y1" s="9"/>
      <c r="Z1" s="9"/>
    </row>
    <row r="2" ht="42.75" customHeight="1">
      <c r="A2" s="11" t="s">
        <v>3</v>
      </c>
      <c r="B2" s="12"/>
      <c r="C2" s="17" t="str">
        <f>'Measurement sheet'!C2</f>
        <v/>
      </c>
      <c r="D2" s="15"/>
      <c r="E2" s="19" t="s">
        <v>5</v>
      </c>
      <c r="F2" s="12"/>
      <c r="G2" s="17" t="str">
        <f>'Measurement sheet'!G2</f>
        <v/>
      </c>
      <c r="H2" s="14"/>
      <c r="I2" s="14"/>
      <c r="J2" s="14"/>
      <c r="K2" s="15"/>
      <c r="L2" s="20" t="s">
        <v>6</v>
      </c>
      <c r="M2" s="17" t="str">
        <f>'Measurement sheet'!M2</f>
        <v/>
      </c>
      <c r="N2" s="14"/>
      <c r="O2" s="14"/>
      <c r="P2" s="14"/>
      <c r="Q2" s="14"/>
      <c r="R2" s="14"/>
      <c r="S2" s="21"/>
      <c r="T2" s="10"/>
      <c r="U2" s="10"/>
      <c r="V2" s="10"/>
      <c r="W2" s="10"/>
      <c r="X2" s="10"/>
      <c r="Y2" s="10"/>
      <c r="Z2" s="10"/>
    </row>
    <row r="3" ht="42.75" customHeight="1">
      <c r="A3" s="25" t="s">
        <v>7</v>
      </c>
      <c r="B3" s="26"/>
      <c r="C3" s="28">
        <f>'Measurement sheet'!C3</f>
        <v>20000</v>
      </c>
      <c r="D3" s="24"/>
      <c r="E3" s="31" t="s">
        <v>9</v>
      </c>
      <c r="F3" s="33"/>
      <c r="G3" s="28">
        <f>'Measurement sheet'!G3</f>
        <v>315</v>
      </c>
      <c r="H3" s="24"/>
      <c r="I3" s="31" t="s">
        <v>10</v>
      </c>
      <c r="J3" s="38" t="str">
        <f>'Main Report (2)'!J5</f>
        <v/>
      </c>
      <c r="K3" s="23"/>
      <c r="L3" s="23"/>
      <c r="M3" s="23"/>
      <c r="N3" s="24"/>
      <c r="O3" s="31" t="s">
        <v>12</v>
      </c>
      <c r="P3" s="26"/>
      <c r="Q3" s="43" t="str">
        <f>'Measurement sheet'!Q3</f>
        <v/>
      </c>
      <c r="R3" s="45" t="s">
        <v>14</v>
      </c>
      <c r="S3" s="47" t="str">
        <f>'Measurement sheet'!S3</f>
        <v/>
      </c>
      <c r="T3" s="10"/>
      <c r="U3" s="10"/>
      <c r="V3" s="10"/>
      <c r="W3" s="10"/>
      <c r="X3" s="10"/>
      <c r="Y3" s="10"/>
      <c r="Z3" s="10"/>
    </row>
    <row r="4" ht="46.5" customHeight="1">
      <c r="A4" s="51"/>
      <c r="B4" s="53"/>
      <c r="C4" s="53"/>
      <c r="D4" s="53"/>
      <c r="E4" s="55"/>
      <c r="F4" s="57"/>
      <c r="G4" s="53"/>
      <c r="H4" s="53"/>
      <c r="I4" s="53"/>
      <c r="J4" s="55"/>
      <c r="K4" s="57"/>
      <c r="L4" s="53"/>
      <c r="M4" s="53"/>
      <c r="N4" s="53"/>
      <c r="O4" s="55"/>
      <c r="P4" s="57"/>
      <c r="Q4" s="53"/>
      <c r="R4" s="53"/>
      <c r="S4" s="53"/>
      <c r="T4" s="60"/>
      <c r="U4" s="9"/>
      <c r="V4" s="9"/>
      <c r="W4" s="9"/>
      <c r="X4" s="9"/>
      <c r="Y4" s="9"/>
      <c r="Z4" s="9"/>
    </row>
    <row r="5" ht="46.5" customHeight="1">
      <c r="A5" s="54"/>
      <c r="E5" s="62"/>
      <c r="F5" s="63"/>
      <c r="J5" s="62"/>
      <c r="K5" s="63"/>
      <c r="O5" s="62"/>
      <c r="P5" s="63"/>
      <c r="T5" s="48"/>
      <c r="U5" s="9"/>
      <c r="V5" s="9"/>
      <c r="W5" s="9"/>
      <c r="X5" s="9"/>
      <c r="Y5" s="9"/>
      <c r="Z5" s="9"/>
    </row>
    <row r="6" ht="46.5" customHeight="1">
      <c r="A6" s="54"/>
      <c r="E6" s="62"/>
      <c r="F6" s="63"/>
      <c r="J6" s="62"/>
      <c r="K6" s="63"/>
      <c r="O6" s="62"/>
      <c r="P6" s="63"/>
      <c r="T6" s="48"/>
      <c r="U6" s="9"/>
      <c r="V6" s="9"/>
      <c r="W6" s="9"/>
      <c r="X6" s="9"/>
      <c r="Y6" s="9"/>
      <c r="Z6" s="9"/>
    </row>
    <row r="7" ht="46.5" customHeight="1">
      <c r="A7" s="54"/>
      <c r="E7" s="62"/>
      <c r="F7" s="63"/>
      <c r="J7" s="62"/>
      <c r="K7" s="63"/>
      <c r="O7" s="62"/>
      <c r="P7" s="63"/>
      <c r="T7" s="48"/>
      <c r="U7" s="9"/>
      <c r="V7" s="9"/>
      <c r="W7" s="9"/>
      <c r="X7" s="9"/>
      <c r="Y7" s="9"/>
      <c r="Z7" s="9"/>
    </row>
    <row r="8" ht="46.5" customHeight="1">
      <c r="A8" s="54"/>
      <c r="E8" s="62"/>
      <c r="F8" s="63"/>
      <c r="J8" s="62"/>
      <c r="K8" s="63"/>
      <c r="O8" s="62"/>
      <c r="P8" s="63"/>
      <c r="T8" s="48"/>
      <c r="U8" s="9"/>
      <c r="V8" s="9"/>
      <c r="W8" s="9"/>
      <c r="X8" s="9"/>
      <c r="Y8" s="9"/>
      <c r="Z8" s="9"/>
    </row>
    <row r="9" ht="46.5" customHeight="1">
      <c r="A9" s="54"/>
      <c r="E9" s="62"/>
      <c r="F9" s="63"/>
      <c r="J9" s="62"/>
      <c r="K9" s="63"/>
      <c r="O9" s="62"/>
      <c r="P9" s="63"/>
      <c r="T9" s="48"/>
      <c r="U9" s="9"/>
      <c r="V9" s="9"/>
      <c r="W9" s="9"/>
      <c r="X9" s="9"/>
      <c r="Y9" s="9"/>
      <c r="Z9" s="9"/>
    </row>
    <row r="10" ht="46.5" customHeight="1">
      <c r="A10" s="54"/>
      <c r="E10" s="62"/>
      <c r="F10" s="63"/>
      <c r="J10" s="62"/>
      <c r="K10" s="63"/>
      <c r="O10" s="62"/>
      <c r="P10" s="63"/>
      <c r="T10" s="48"/>
      <c r="U10" s="9"/>
      <c r="V10" s="9"/>
      <c r="W10" s="9"/>
      <c r="X10" s="9"/>
      <c r="Y10" s="9"/>
      <c r="Z10" s="9"/>
    </row>
    <row r="11" ht="46.5" customHeight="1">
      <c r="A11" s="73"/>
      <c r="B11" s="6"/>
      <c r="C11" s="6"/>
      <c r="D11" s="6"/>
      <c r="E11" s="75"/>
      <c r="F11" s="76"/>
      <c r="G11" s="6"/>
      <c r="H11" s="6"/>
      <c r="I11" s="6"/>
      <c r="J11" s="75"/>
      <c r="K11" s="76"/>
      <c r="L11" s="6"/>
      <c r="M11" s="6"/>
      <c r="N11" s="6"/>
      <c r="O11" s="75"/>
      <c r="P11" s="76"/>
      <c r="Q11" s="6"/>
      <c r="R11" s="6"/>
      <c r="S11" s="6"/>
      <c r="T11" s="78"/>
      <c r="U11" s="9"/>
      <c r="V11" s="9"/>
      <c r="W11" s="9"/>
      <c r="X11" s="9"/>
      <c r="Y11" s="9"/>
      <c r="Z11" s="9"/>
    </row>
    <row r="12" ht="46.5" customHeight="1">
      <c r="A12" s="81" t="s">
        <v>24</v>
      </c>
      <c r="B12" s="83"/>
      <c r="C12" s="34"/>
      <c r="D12" s="34"/>
      <c r="E12" s="37"/>
      <c r="F12" s="84" t="s">
        <v>24</v>
      </c>
      <c r="G12" s="83"/>
      <c r="H12" s="34"/>
      <c r="I12" s="34"/>
      <c r="J12" s="37"/>
      <c r="K12" s="84" t="s">
        <v>24</v>
      </c>
      <c r="L12" s="83"/>
      <c r="M12" s="34"/>
      <c r="N12" s="34"/>
      <c r="O12" s="37"/>
      <c r="P12" s="84" t="s">
        <v>24</v>
      </c>
      <c r="Q12" s="83"/>
      <c r="R12" s="34"/>
      <c r="S12" s="34"/>
      <c r="T12" s="37"/>
      <c r="U12" s="88"/>
      <c r="V12" s="88"/>
      <c r="W12" s="88"/>
      <c r="X12" s="88"/>
      <c r="Y12" s="88"/>
      <c r="Z12" s="88"/>
    </row>
    <row r="13" ht="46.5" customHeight="1">
      <c r="A13" s="89"/>
      <c r="B13" s="90"/>
      <c r="C13" s="90"/>
      <c r="D13" s="90"/>
      <c r="E13" s="91"/>
      <c r="F13" s="92"/>
      <c r="G13" s="90"/>
      <c r="H13" s="90"/>
      <c r="I13" s="90"/>
      <c r="J13" s="91"/>
      <c r="K13" s="92"/>
      <c r="L13" s="90"/>
      <c r="M13" s="90"/>
      <c r="N13" s="90"/>
      <c r="O13" s="91"/>
      <c r="P13" s="92" t="s">
        <v>25</v>
      </c>
      <c r="Q13" s="90"/>
      <c r="R13" s="90"/>
      <c r="S13" s="90"/>
      <c r="T13" s="95"/>
      <c r="U13" s="9"/>
      <c r="V13" s="9"/>
      <c r="W13" s="9"/>
      <c r="X13" s="9"/>
      <c r="Y13" s="9"/>
      <c r="Z13" s="9"/>
    </row>
    <row r="14" ht="46.5" customHeight="1">
      <c r="A14" s="54"/>
      <c r="E14" s="62"/>
      <c r="F14" s="63"/>
      <c r="J14" s="62"/>
      <c r="K14" s="63"/>
      <c r="O14" s="62"/>
      <c r="P14" s="63"/>
      <c r="T14" s="48"/>
      <c r="U14" s="9"/>
      <c r="V14" s="9"/>
      <c r="W14" s="9"/>
      <c r="X14" s="9"/>
      <c r="Y14" s="9"/>
      <c r="Z14" s="9"/>
    </row>
    <row r="15" ht="46.5" customHeight="1">
      <c r="A15" s="54"/>
      <c r="E15" s="62"/>
      <c r="F15" s="63"/>
      <c r="J15" s="62"/>
      <c r="K15" s="63"/>
      <c r="O15" s="62"/>
      <c r="P15" s="63"/>
      <c r="T15" s="48"/>
      <c r="U15" s="9"/>
      <c r="V15" s="9"/>
      <c r="W15" s="9"/>
      <c r="X15" s="9"/>
      <c r="Y15" s="9"/>
      <c r="Z15" s="9"/>
    </row>
    <row r="16" ht="46.5" customHeight="1">
      <c r="A16" s="54"/>
      <c r="E16" s="62"/>
      <c r="F16" s="63"/>
      <c r="J16" s="62"/>
      <c r="K16" s="63"/>
      <c r="O16" s="62"/>
      <c r="P16" s="63"/>
      <c r="T16" s="48"/>
      <c r="U16" s="9"/>
      <c r="V16" s="9"/>
      <c r="W16" s="9"/>
      <c r="X16" s="9"/>
      <c r="Y16" s="9"/>
      <c r="Z16" s="9"/>
    </row>
    <row r="17" ht="46.5" customHeight="1">
      <c r="A17" s="54"/>
      <c r="E17" s="62"/>
      <c r="F17" s="63"/>
      <c r="J17" s="62"/>
      <c r="K17" s="63"/>
      <c r="O17" s="62"/>
      <c r="P17" s="63"/>
      <c r="T17" s="48"/>
      <c r="U17" s="9"/>
      <c r="V17" s="9"/>
      <c r="W17" s="9"/>
      <c r="X17" s="9"/>
      <c r="Y17" s="9"/>
      <c r="Z17" s="9"/>
    </row>
    <row r="18" ht="46.5" customHeight="1">
      <c r="A18" s="54"/>
      <c r="E18" s="62"/>
      <c r="F18" s="63"/>
      <c r="J18" s="62"/>
      <c r="K18" s="63"/>
      <c r="O18" s="62"/>
      <c r="P18" s="63"/>
      <c r="T18" s="48"/>
      <c r="U18" s="9"/>
      <c r="V18" s="9"/>
      <c r="W18" s="9"/>
      <c r="X18" s="9"/>
      <c r="Y18" s="9"/>
      <c r="Z18" s="9"/>
    </row>
    <row r="19" ht="46.5" customHeight="1">
      <c r="A19" s="54"/>
      <c r="E19" s="62"/>
      <c r="F19" s="63"/>
      <c r="J19" s="62"/>
      <c r="K19" s="63"/>
      <c r="O19" s="62"/>
      <c r="P19" s="63"/>
      <c r="T19" s="48"/>
      <c r="U19" s="9"/>
      <c r="V19" s="9"/>
      <c r="W19" s="9"/>
      <c r="X19" s="9"/>
      <c r="Y19" s="9"/>
      <c r="Z19" s="9"/>
    </row>
    <row r="20" ht="46.5" customHeight="1">
      <c r="A20" s="73"/>
      <c r="B20" s="6"/>
      <c r="C20" s="6"/>
      <c r="D20" s="6"/>
      <c r="E20" s="75"/>
      <c r="F20" s="76"/>
      <c r="G20" s="6"/>
      <c r="H20" s="6"/>
      <c r="I20" s="6"/>
      <c r="J20" s="75"/>
      <c r="K20" s="76"/>
      <c r="L20" s="6"/>
      <c r="M20" s="6"/>
      <c r="N20" s="6"/>
      <c r="O20" s="75"/>
      <c r="P20" s="76"/>
      <c r="Q20" s="6"/>
      <c r="R20" s="6"/>
      <c r="S20" s="6"/>
      <c r="T20" s="78"/>
      <c r="U20" s="9"/>
      <c r="V20" s="9"/>
      <c r="W20" s="9"/>
      <c r="X20" s="9"/>
      <c r="Y20" s="9"/>
      <c r="Z20" s="9"/>
    </row>
    <row r="21" ht="46.5" customHeight="1">
      <c r="A21" s="105" t="s">
        <v>24</v>
      </c>
      <c r="B21" s="83"/>
      <c r="C21" s="34"/>
      <c r="D21" s="34"/>
      <c r="E21" s="37"/>
      <c r="F21" s="106" t="s">
        <v>24</v>
      </c>
      <c r="G21" s="107"/>
      <c r="H21" s="34"/>
      <c r="I21" s="34"/>
      <c r="J21" s="108"/>
      <c r="K21" s="106" t="s">
        <v>24</v>
      </c>
      <c r="L21" s="107"/>
      <c r="M21" s="34"/>
      <c r="N21" s="34"/>
      <c r="O21" s="37"/>
      <c r="P21" s="106" t="s">
        <v>24</v>
      </c>
      <c r="Q21" s="107"/>
      <c r="R21" s="34"/>
      <c r="S21" s="34"/>
      <c r="T21" s="108"/>
      <c r="U21" s="88"/>
      <c r="V21" s="88"/>
      <c r="W21" s="88"/>
      <c r="X21" s="88"/>
      <c r="Y21" s="88"/>
      <c r="Z21" s="88"/>
    </row>
    <row r="22" ht="46.5" customHeight="1">
      <c r="A22" s="89"/>
      <c r="B22" s="90"/>
      <c r="C22" s="90"/>
      <c r="D22" s="90"/>
      <c r="E22" s="91"/>
      <c r="F22" s="92"/>
      <c r="G22" s="90"/>
      <c r="H22" s="90"/>
      <c r="I22" s="90"/>
      <c r="J22" s="91"/>
      <c r="K22" s="92"/>
      <c r="L22" s="90"/>
      <c r="M22" s="90"/>
      <c r="N22" s="90"/>
      <c r="O22" s="91"/>
      <c r="P22" s="92"/>
      <c r="Q22" s="90"/>
      <c r="R22" s="90"/>
      <c r="S22" s="90"/>
      <c r="T22" s="95"/>
      <c r="U22" s="9"/>
      <c r="V22" s="9"/>
      <c r="W22" s="9"/>
      <c r="X22" s="9"/>
      <c r="Y22" s="9"/>
      <c r="Z22" s="9"/>
    </row>
    <row r="23" ht="46.5" customHeight="1">
      <c r="A23" s="54"/>
      <c r="E23" s="62"/>
      <c r="F23" s="63"/>
      <c r="J23" s="62"/>
      <c r="K23" s="63"/>
      <c r="O23" s="62"/>
      <c r="P23" s="63"/>
      <c r="T23" s="48"/>
      <c r="U23" s="9"/>
      <c r="V23" s="9"/>
      <c r="W23" s="9"/>
      <c r="X23" s="9"/>
      <c r="Y23" s="9"/>
      <c r="Z23" s="9"/>
    </row>
    <row r="24" ht="46.5" customHeight="1">
      <c r="A24" s="54"/>
      <c r="E24" s="62"/>
      <c r="F24" s="63"/>
      <c r="J24" s="62"/>
      <c r="K24" s="63"/>
      <c r="O24" s="62"/>
      <c r="P24" s="63"/>
      <c r="T24" s="48"/>
      <c r="U24" s="9"/>
      <c r="V24" s="9"/>
      <c r="W24" s="9"/>
      <c r="X24" s="9"/>
      <c r="Y24" s="9"/>
      <c r="Z24" s="9"/>
    </row>
    <row r="25" ht="46.5" customHeight="1">
      <c r="A25" s="54"/>
      <c r="E25" s="62"/>
      <c r="F25" s="63"/>
      <c r="J25" s="62"/>
      <c r="K25" s="63"/>
      <c r="O25" s="62"/>
      <c r="P25" s="63"/>
      <c r="T25" s="48"/>
      <c r="U25" s="9"/>
      <c r="V25" s="9"/>
      <c r="W25" s="9"/>
      <c r="X25" s="9"/>
      <c r="Y25" s="9"/>
      <c r="Z25" s="9"/>
    </row>
    <row r="26" ht="46.5" customHeight="1">
      <c r="A26" s="54"/>
      <c r="E26" s="62"/>
      <c r="F26" s="63"/>
      <c r="J26" s="62"/>
      <c r="K26" s="63"/>
      <c r="O26" s="62"/>
      <c r="P26" s="63"/>
      <c r="T26" s="48"/>
      <c r="U26" s="9"/>
      <c r="V26" s="9"/>
      <c r="W26" s="9"/>
      <c r="X26" s="9"/>
      <c r="Y26" s="9"/>
      <c r="Z26" s="9"/>
    </row>
    <row r="27" ht="46.5" customHeight="1">
      <c r="A27" s="54"/>
      <c r="E27" s="62"/>
      <c r="F27" s="63"/>
      <c r="J27" s="62"/>
      <c r="K27" s="63"/>
      <c r="O27" s="62"/>
      <c r="P27" s="63"/>
      <c r="T27" s="48"/>
      <c r="U27" s="9"/>
      <c r="V27" s="9"/>
      <c r="W27" s="9"/>
      <c r="X27" s="9"/>
      <c r="Y27" s="9"/>
      <c r="Z27" s="9"/>
    </row>
    <row r="28" ht="46.5" customHeight="1">
      <c r="A28" s="54"/>
      <c r="E28" s="62"/>
      <c r="F28" s="63"/>
      <c r="J28" s="62"/>
      <c r="K28" s="63"/>
      <c r="O28" s="62"/>
      <c r="P28" s="63"/>
      <c r="T28" s="48"/>
      <c r="U28" s="9"/>
      <c r="V28" s="9"/>
      <c r="W28" s="9"/>
      <c r="X28" s="9"/>
      <c r="Y28" s="9"/>
      <c r="Z28" s="9"/>
    </row>
    <row r="29" ht="46.5" customHeight="1">
      <c r="A29" s="73"/>
      <c r="B29" s="6"/>
      <c r="C29" s="6"/>
      <c r="D29" s="6"/>
      <c r="E29" s="75"/>
      <c r="F29" s="76"/>
      <c r="G29" s="6"/>
      <c r="H29" s="6"/>
      <c r="I29" s="6"/>
      <c r="J29" s="75"/>
      <c r="K29" s="76"/>
      <c r="L29" s="6"/>
      <c r="M29" s="6"/>
      <c r="N29" s="6"/>
      <c r="O29" s="75"/>
      <c r="P29" s="76"/>
      <c r="Q29" s="6"/>
      <c r="R29" s="6"/>
      <c r="S29" s="6"/>
      <c r="T29" s="78"/>
      <c r="U29" s="9"/>
      <c r="V29" s="9"/>
      <c r="W29" s="9"/>
      <c r="X29" s="9"/>
      <c r="Y29" s="9"/>
      <c r="Z29" s="9"/>
    </row>
    <row r="30" ht="46.5" customHeight="1">
      <c r="A30" s="105" t="s">
        <v>24</v>
      </c>
      <c r="B30" s="107"/>
      <c r="C30" s="34"/>
      <c r="D30" s="34"/>
      <c r="E30" s="37"/>
      <c r="F30" s="106" t="s">
        <v>24</v>
      </c>
      <c r="G30" s="107"/>
      <c r="H30" s="34"/>
      <c r="I30" s="34"/>
      <c r="J30" s="37"/>
      <c r="K30" s="106" t="s">
        <v>24</v>
      </c>
      <c r="L30" s="107"/>
      <c r="M30" s="34"/>
      <c r="N30" s="34"/>
      <c r="O30" s="37"/>
      <c r="P30" s="106" t="s">
        <v>24</v>
      </c>
      <c r="Q30" s="107"/>
      <c r="R30" s="34"/>
      <c r="S30" s="34"/>
      <c r="T30" s="108"/>
      <c r="U30" s="9"/>
      <c r="V30" s="9"/>
      <c r="W30" s="9"/>
      <c r="X30" s="9"/>
      <c r="Y30" s="9"/>
      <c r="Z30" s="9"/>
    </row>
    <row r="31" ht="46.5" customHeight="1">
      <c r="A31" s="89"/>
      <c r="B31" s="90"/>
      <c r="C31" s="90"/>
      <c r="D31" s="90"/>
      <c r="E31" s="91"/>
      <c r="F31" s="92"/>
      <c r="G31" s="90"/>
      <c r="H31" s="90"/>
      <c r="I31" s="90"/>
      <c r="J31" s="91"/>
      <c r="K31" s="92"/>
      <c r="L31" s="90"/>
      <c r="M31" s="90"/>
      <c r="N31" s="90"/>
      <c r="O31" s="91"/>
      <c r="P31" s="92"/>
      <c r="Q31" s="90"/>
      <c r="R31" s="90"/>
      <c r="S31" s="90"/>
      <c r="T31" s="95"/>
      <c r="U31" s="9"/>
      <c r="V31" s="9"/>
      <c r="W31" s="9"/>
      <c r="X31" s="9"/>
      <c r="Y31" s="9"/>
      <c r="Z31" s="9"/>
    </row>
    <row r="32" ht="46.5" customHeight="1">
      <c r="A32" s="54"/>
      <c r="E32" s="62"/>
      <c r="F32" s="63"/>
      <c r="J32" s="62"/>
      <c r="K32" s="63"/>
      <c r="O32" s="62"/>
      <c r="P32" s="63"/>
      <c r="T32" s="48"/>
      <c r="U32" s="9"/>
      <c r="V32" s="9"/>
      <c r="W32" s="9"/>
      <c r="X32" s="9"/>
      <c r="Y32" s="9"/>
      <c r="Z32" s="9"/>
    </row>
    <row r="33" ht="46.5" customHeight="1">
      <c r="A33" s="54"/>
      <c r="E33" s="62"/>
      <c r="F33" s="63"/>
      <c r="J33" s="62"/>
      <c r="K33" s="63"/>
      <c r="O33" s="62"/>
      <c r="P33" s="63"/>
      <c r="T33" s="48"/>
      <c r="U33" s="9"/>
      <c r="V33" s="9"/>
      <c r="W33" s="9"/>
      <c r="X33" s="9"/>
      <c r="Y33" s="9"/>
      <c r="Z33" s="9"/>
    </row>
    <row r="34" ht="46.5" customHeight="1">
      <c r="A34" s="54"/>
      <c r="E34" s="62"/>
      <c r="F34" s="63"/>
      <c r="J34" s="62"/>
      <c r="K34" s="63"/>
      <c r="O34" s="62"/>
      <c r="P34" s="63"/>
      <c r="T34" s="48"/>
      <c r="U34" s="9"/>
      <c r="V34" s="9"/>
      <c r="W34" s="9"/>
      <c r="X34" s="9"/>
      <c r="Y34" s="9"/>
      <c r="Z34" s="9"/>
    </row>
    <row r="35" ht="46.5" customHeight="1">
      <c r="A35" s="54"/>
      <c r="E35" s="62"/>
      <c r="F35" s="63"/>
      <c r="J35" s="62"/>
      <c r="K35" s="63"/>
      <c r="O35" s="62"/>
      <c r="P35" s="63"/>
      <c r="T35" s="48"/>
      <c r="U35" s="9"/>
      <c r="V35" s="9"/>
      <c r="W35" s="9"/>
      <c r="X35" s="9"/>
      <c r="Y35" s="9"/>
      <c r="Z35" s="9"/>
    </row>
    <row r="36" ht="46.5" customHeight="1">
      <c r="A36" s="54"/>
      <c r="E36" s="62"/>
      <c r="F36" s="63"/>
      <c r="J36" s="62"/>
      <c r="K36" s="63"/>
      <c r="O36" s="62"/>
      <c r="P36" s="63"/>
      <c r="T36" s="48"/>
      <c r="U36" s="9"/>
      <c r="V36" s="9"/>
      <c r="W36" s="9"/>
      <c r="X36" s="9"/>
      <c r="Y36" s="9"/>
      <c r="Z36" s="9"/>
    </row>
    <row r="37" ht="46.5" customHeight="1">
      <c r="A37" s="54"/>
      <c r="E37" s="62"/>
      <c r="F37" s="63"/>
      <c r="J37" s="62"/>
      <c r="K37" s="63"/>
      <c r="O37" s="62"/>
      <c r="P37" s="63"/>
      <c r="T37" s="48"/>
      <c r="U37" s="9"/>
      <c r="V37" s="9"/>
      <c r="W37" s="9"/>
      <c r="X37" s="9"/>
      <c r="Y37" s="9"/>
      <c r="Z37" s="9"/>
    </row>
    <row r="38" ht="46.5" customHeight="1">
      <c r="A38" s="73"/>
      <c r="B38" s="6"/>
      <c r="C38" s="6"/>
      <c r="D38" s="6"/>
      <c r="E38" s="75"/>
      <c r="F38" s="76"/>
      <c r="G38" s="6"/>
      <c r="H38" s="6"/>
      <c r="I38" s="6"/>
      <c r="J38" s="75"/>
      <c r="K38" s="76"/>
      <c r="L38" s="6"/>
      <c r="M38" s="6"/>
      <c r="N38" s="6"/>
      <c r="O38" s="75"/>
      <c r="P38" s="76"/>
      <c r="Q38" s="6"/>
      <c r="R38" s="6"/>
      <c r="S38" s="6"/>
      <c r="T38" s="78"/>
      <c r="U38" s="9"/>
      <c r="V38" s="9"/>
      <c r="W38" s="9"/>
      <c r="X38" s="9"/>
      <c r="Y38" s="9"/>
      <c r="Z38" s="9"/>
    </row>
    <row r="39" ht="46.5" customHeight="1">
      <c r="A39" s="131" t="s">
        <v>24</v>
      </c>
      <c r="B39" s="107"/>
      <c r="C39" s="34"/>
      <c r="D39" s="34"/>
      <c r="E39" s="37"/>
      <c r="F39" s="132" t="s">
        <v>24</v>
      </c>
      <c r="G39" s="134"/>
      <c r="H39" s="23"/>
      <c r="I39" s="23"/>
      <c r="J39" s="24"/>
      <c r="K39" s="132" t="s">
        <v>24</v>
      </c>
      <c r="L39" s="134"/>
      <c r="M39" s="23"/>
      <c r="N39" s="23"/>
      <c r="O39" s="24"/>
      <c r="P39" s="132" t="s">
        <v>24</v>
      </c>
      <c r="Q39" s="134"/>
      <c r="R39" s="23"/>
      <c r="S39" s="23"/>
      <c r="T39" s="136"/>
      <c r="U39" s="9"/>
      <c r="V39" s="9"/>
      <c r="W39" s="9"/>
      <c r="X39" s="9"/>
      <c r="Y39" s="9"/>
      <c r="Z39" s="9"/>
    </row>
    <row r="40" ht="6.0" customHeight="1">
      <c r="A40" s="137"/>
      <c r="U40" s="9"/>
      <c r="V40" s="9"/>
      <c r="W40" s="9"/>
      <c r="X40" s="9"/>
      <c r="Y40" s="9"/>
      <c r="Z40" s="9"/>
    </row>
    <row r="41" ht="13.5" customHeight="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ht="13.5" customHeight="1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ht="13.5" customHeight="1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ht="13.5" customHeight="1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ht="13.5" customHeight="1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ht="13.5" customHeight="1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ht="13.5" customHeight="1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ht="13.5" customHeight="1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ht="13.5" customHeight="1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ht="13.5" customHeight="1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ht="13.5" customHeight="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ht="13.5" customHeight="1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ht="13.5" customHeight="1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ht="13.5" customHeight="1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ht="13.5" customHeight="1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ht="13.5" customHeight="1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ht="13.5" customHeight="1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ht="13.5" customHeight="1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ht="13.5" customHeight="1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ht="13.5" customHeight="1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ht="13.5" customHeight="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ht="13.5" customHeight="1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ht="13.5" customHeight="1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ht="13.5" customHeight="1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ht="13.5" customHeight="1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ht="13.5" customHeight="1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ht="13.5" customHeight="1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ht="13.5" customHeight="1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ht="13.5" customHeight="1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ht="13.5" customHeight="1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ht="13.5" customHeight="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ht="13.5" customHeight="1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ht="13.5" customHeight="1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ht="13.5" customHeight="1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ht="13.5" customHeight="1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ht="13.5" customHeight="1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ht="13.5" customHeight="1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ht="13.5" customHeight="1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ht="13.5" customHeight="1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ht="13.5" customHeight="1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ht="13.5" customHeight="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ht="13.5" customHeight="1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ht="13.5" customHeight="1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ht="13.5" customHeight="1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ht="13.5" customHeight="1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ht="13.5" customHeight="1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ht="13.5" customHeight="1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ht="13.5" customHeight="1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ht="13.5" customHeight="1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ht="13.5" customHeight="1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ht="13.5" customHeight="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ht="13.5" customHeight="1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ht="13.5" customHeight="1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ht="13.5" customHeight="1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ht="13.5" customHeight="1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ht="13.5" customHeight="1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ht="13.5" customHeight="1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ht="13.5" customHeight="1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ht="13.5" customHeight="1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ht="13.5" customHeight="1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ht="13.5" customHeight="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ht="13.5" customHeight="1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ht="13.5" customHeight="1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ht="13.5" customHeight="1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ht="13.5" customHeight="1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ht="13.5" customHeight="1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ht="13.5" customHeight="1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ht="13.5" customHeight="1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ht="13.5" customHeight="1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ht="13.5" customHeight="1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ht="13.5" customHeight="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ht="13.5" customHeight="1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ht="13.5" customHeight="1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ht="13.5" customHeight="1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ht="13.5" customHeight="1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ht="13.5" customHeight="1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ht="13.5" customHeight="1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ht="13.5" customHeight="1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ht="13.5" customHeight="1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ht="13.5" customHeight="1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ht="13.5" customHeight="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ht="13.5" customHeight="1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ht="13.5" customHeight="1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ht="13.5" customHeight="1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ht="13.5" customHeight="1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ht="13.5" customHeight="1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ht="13.5" customHeight="1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ht="13.5" customHeight="1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ht="13.5" customHeight="1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ht="13.5" customHeight="1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ht="13.5" customHeight="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ht="13.5" customHeight="1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ht="13.5" customHeight="1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ht="13.5" customHeight="1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ht="13.5" customHeight="1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ht="13.5" customHeight="1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ht="13.5" customHeight="1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ht="13.5" customHeight="1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ht="13.5" customHeight="1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ht="13.5" customHeight="1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ht="13.5" customHeight="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ht="13.5" customHeight="1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ht="13.5" customHeight="1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ht="13.5" customHeight="1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ht="13.5" customHeight="1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ht="13.5" customHeight="1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ht="13.5" customHeight="1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ht="13.5" customHeight="1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ht="13.5" customHeight="1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ht="13.5" customHeight="1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ht="13.5" customHeight="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ht="13.5" customHeight="1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ht="13.5" customHeight="1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ht="13.5" customHeight="1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ht="13.5" customHeight="1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ht="13.5" customHeight="1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ht="13.5" customHeight="1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ht="13.5" customHeight="1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ht="13.5" customHeight="1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ht="13.5" customHeight="1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ht="13.5" customHeight="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ht="13.5" customHeight="1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ht="13.5" customHeight="1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ht="13.5" customHeight="1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ht="13.5" customHeight="1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ht="13.5" customHeight="1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ht="13.5" customHeight="1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ht="13.5" customHeight="1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ht="13.5" customHeight="1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ht="13.5" customHeight="1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ht="13.5" customHeight="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ht="13.5" customHeight="1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ht="13.5" customHeight="1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ht="13.5" customHeight="1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ht="13.5" customHeight="1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ht="13.5" customHeight="1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ht="13.5" customHeight="1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ht="13.5" customHeight="1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ht="13.5" customHeight="1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ht="13.5" customHeight="1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ht="13.5" customHeight="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ht="13.5" customHeight="1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ht="13.5" customHeight="1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ht="13.5" customHeight="1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ht="13.5" customHeight="1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ht="13.5" customHeight="1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ht="13.5" customHeight="1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ht="13.5" customHeight="1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ht="13.5" customHeight="1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ht="13.5" customHeight="1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ht="13.5" customHeight="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ht="13.5" customHeight="1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ht="13.5" customHeight="1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ht="13.5" customHeight="1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ht="13.5" customHeight="1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ht="13.5" customHeight="1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ht="13.5" customHeight="1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ht="13.5" customHeight="1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ht="13.5" customHeight="1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ht="13.5" customHeight="1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ht="13.5" customHeight="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ht="13.5" customHeight="1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ht="13.5" customHeight="1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ht="13.5" customHeight="1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ht="13.5" customHeight="1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ht="13.5" customHeight="1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ht="13.5" customHeight="1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ht="13.5" customHeight="1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ht="13.5" customHeight="1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ht="13.5" customHeight="1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ht="13.5" customHeight="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ht="13.5" customHeight="1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ht="13.5" customHeight="1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ht="13.5" customHeight="1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ht="13.5" customHeight="1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ht="13.5" customHeight="1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ht="13.5" customHeight="1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ht="13.5" customHeight="1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ht="13.5" customHeight="1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ht="13.5" customHeight="1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ht="13.5" customHeight="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ht="13.5" customHeight="1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ht="13.5" customHeight="1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ht="13.5" customHeight="1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ht="13.5" customHeight="1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ht="13.5" customHeight="1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ht="13.5" customHeight="1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ht="13.5" customHeight="1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ht="13.5" customHeight="1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ht="13.5" customHeight="1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ht="13.5" customHeight="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ht="13.5" customHeight="1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ht="13.5" customHeight="1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ht="13.5" customHeight="1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ht="13.5" customHeight="1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ht="13.5" customHeight="1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ht="13.5" customHeight="1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ht="13.5" customHeight="1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ht="13.5" customHeight="1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ht="13.5" customHeight="1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ht="13.5" customHeight="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ht="13.5" customHeight="1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ht="13.5" customHeight="1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ht="13.5" customHeight="1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ht="13.5" customHeight="1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ht="13.5" customHeight="1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ht="13.5" customHeight="1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ht="13.5" customHeight="1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ht="13.5" customHeight="1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ht="13.5" customHeight="1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ht="13.5" customHeight="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ht="13.5" customHeight="1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ht="13.5" customHeight="1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ht="13.5" customHeight="1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ht="13.5" customHeight="1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ht="13.5" customHeight="1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ht="13.5" customHeight="1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ht="13.5" customHeight="1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ht="13.5" customHeight="1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ht="13.5" customHeight="1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ht="13.5" customHeight="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ht="13.5" customHeight="1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ht="13.5" customHeight="1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ht="13.5" customHeight="1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ht="13.5" customHeight="1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ht="13.5" customHeight="1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ht="13.5" customHeight="1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ht="13.5" customHeight="1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ht="13.5" customHeight="1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ht="13.5" customHeight="1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ht="13.5" customHeight="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ht="13.5" customHeight="1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ht="13.5" customHeight="1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ht="13.5" customHeight="1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ht="13.5" customHeight="1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ht="13.5" customHeight="1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ht="13.5" customHeight="1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ht="13.5" customHeight="1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ht="13.5" customHeight="1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ht="13.5" customHeight="1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ht="13.5" customHeight="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ht="13.5" customHeight="1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ht="13.5" customHeight="1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ht="13.5" customHeight="1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ht="13.5" customHeight="1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ht="13.5" customHeight="1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ht="13.5" customHeight="1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ht="13.5" customHeight="1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ht="13.5" customHeight="1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ht="13.5" customHeight="1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ht="13.5" customHeight="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ht="13.5" customHeight="1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ht="13.5" customHeight="1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ht="13.5" customHeight="1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ht="13.5" customHeight="1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ht="13.5" customHeight="1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ht="13.5" customHeight="1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ht="13.5" customHeight="1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ht="13.5" customHeight="1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ht="13.5" customHeight="1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ht="13.5" customHeight="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ht="13.5" customHeight="1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ht="13.5" customHeight="1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ht="13.5" customHeight="1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ht="13.5" customHeight="1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ht="13.5" customHeight="1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ht="13.5" customHeight="1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ht="13.5" customHeight="1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ht="13.5" customHeight="1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ht="13.5" customHeight="1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ht="13.5" customHeight="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ht="13.5" customHeight="1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ht="13.5" customHeight="1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ht="13.5" customHeight="1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ht="13.5" customHeight="1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ht="13.5" customHeight="1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ht="13.5" customHeight="1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ht="13.5" customHeight="1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ht="13.5" customHeight="1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ht="13.5" customHeight="1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ht="13.5" customHeight="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ht="13.5" customHeight="1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ht="13.5" customHeight="1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ht="13.5" customHeight="1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ht="13.5" customHeight="1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ht="13.5" customHeight="1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ht="13.5" customHeight="1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ht="13.5" customHeight="1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ht="13.5" customHeight="1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ht="13.5" customHeight="1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ht="13.5" customHeight="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ht="13.5" customHeight="1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ht="13.5" customHeight="1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ht="13.5" customHeight="1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ht="13.5" customHeight="1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ht="13.5" customHeight="1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ht="13.5" customHeight="1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ht="13.5" customHeight="1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ht="13.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ht="13.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ht="13.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ht="13.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ht="13.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ht="13.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ht="13.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ht="13.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ht="13.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ht="13.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ht="13.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ht="13.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ht="13.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ht="13.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ht="13.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ht="13.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ht="13.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ht="13.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ht="13.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ht="13.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ht="13.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ht="13.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ht="13.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ht="13.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 ht="13.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 ht="13.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 ht="13.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 ht="13.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 ht="13.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 ht="13.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 ht="13.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 ht="13.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 ht="13.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 ht="13.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 ht="13.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 ht="13.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 ht="13.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 ht="13.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 ht="13.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 ht="13.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 ht="13.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 ht="13.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 ht="13.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 ht="13.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 ht="13.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 ht="13.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 ht="13.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 ht="13.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 ht="13.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 ht="13.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 ht="13.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 ht="13.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 ht="13.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 ht="13.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 ht="13.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 ht="13.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 ht="13.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 ht="13.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 ht="13.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 ht="13.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 ht="13.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 ht="13.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 ht="13.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 ht="13.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 ht="13.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 ht="13.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 ht="13.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 ht="13.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 ht="13.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 ht="13.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 ht="13.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 ht="13.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 ht="13.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 ht="13.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 ht="13.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 ht="13.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 ht="13.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 ht="13.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 ht="13.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 ht="13.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 ht="13.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 ht="13.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 ht="13.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 ht="13.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 ht="13.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 ht="13.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 ht="13.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 ht="13.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 ht="13.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 ht="13.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 ht="13.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 ht="13.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 ht="13.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 ht="13.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 ht="13.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 ht="13.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 ht="13.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 ht="13.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 ht="13.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 ht="13.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 ht="13.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 ht="13.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 ht="13.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 ht="13.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 ht="13.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 ht="13.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 ht="13.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 ht="13.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 ht="13.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 ht="13.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 ht="13.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 ht="13.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 ht="13.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 ht="13.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 ht="13.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 ht="13.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 ht="13.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 ht="13.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 ht="13.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 ht="13.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 ht="13.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 ht="13.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 ht="13.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 ht="13.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 ht="13.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 ht="13.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 ht="13.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 ht="13.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 ht="13.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 ht="13.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 ht="13.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 ht="13.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 ht="13.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 ht="13.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 ht="13.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 ht="13.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 ht="13.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 ht="13.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 ht="13.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 ht="13.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 ht="13.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 ht="13.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 ht="13.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 ht="13.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 ht="13.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 ht="13.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 ht="13.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 ht="13.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 ht="13.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 ht="13.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 ht="13.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 ht="13.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 ht="13.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 ht="13.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 ht="13.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 ht="13.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 ht="13.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 ht="13.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 ht="13.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 ht="13.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 ht="13.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 ht="13.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 ht="13.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 ht="13.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 ht="13.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 ht="13.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 ht="13.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 ht="13.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 ht="13.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 ht="13.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 ht="13.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 ht="13.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 ht="13.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 ht="13.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 ht="13.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 ht="13.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 ht="13.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 ht="13.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 ht="13.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 ht="13.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 ht="13.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 ht="13.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 ht="13.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 ht="13.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 ht="13.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 ht="13.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 ht="13.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 ht="13.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 ht="13.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 ht="13.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 ht="13.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 ht="13.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 ht="13.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 ht="13.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 ht="13.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 ht="13.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 ht="13.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 ht="13.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 ht="13.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 ht="13.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 ht="13.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 ht="13.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 ht="13.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 ht="13.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 ht="13.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 ht="13.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 ht="13.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 ht="13.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 ht="13.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 ht="13.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 ht="13.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 ht="13.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 ht="13.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 ht="13.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 ht="13.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 ht="13.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 ht="13.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 ht="13.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 ht="13.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 ht="13.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 ht="13.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 ht="13.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 ht="13.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 ht="13.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 ht="13.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 ht="13.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 ht="13.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 ht="13.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 ht="13.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 ht="13.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 ht="13.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 ht="13.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 ht="13.5" customHeight="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 ht="13.5" customHeight="1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 ht="13.5" customHeight="1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 ht="13.5" customHeight="1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 ht="13.5" customHeight="1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 ht="13.5" customHeight="1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 ht="13.5" customHeight="1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 ht="13.5" customHeight="1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 ht="13.5" customHeight="1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 ht="13.5" customHeight="1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 ht="13.5" customHeight="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 ht="13.5" customHeight="1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 ht="13.5" customHeight="1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 ht="13.5" customHeight="1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 ht="13.5" customHeight="1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 ht="13.5" customHeight="1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 ht="13.5" customHeight="1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 ht="13.5" customHeight="1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 ht="13.5" customHeight="1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 ht="13.5" customHeight="1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 ht="13.5" customHeight="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 ht="13.5" customHeight="1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 ht="13.5" customHeight="1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 ht="13.5" customHeight="1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 ht="13.5" customHeight="1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 ht="13.5" customHeight="1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 ht="13.5" customHeight="1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 ht="13.5" customHeight="1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 ht="13.5" customHeight="1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 ht="13.5" customHeight="1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 ht="13.5" customHeight="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 ht="13.5" customHeight="1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 ht="13.5" customHeight="1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 ht="13.5" customHeight="1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 ht="13.5" customHeight="1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 ht="13.5" customHeight="1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 ht="13.5" customHeight="1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 ht="13.5" customHeight="1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 ht="13.5" customHeight="1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 ht="13.5" customHeight="1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 ht="13.5" customHeight="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 ht="13.5" customHeight="1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 ht="13.5" customHeight="1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 ht="13.5" customHeight="1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 ht="13.5" customHeight="1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 ht="13.5" customHeight="1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 ht="13.5" customHeight="1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 ht="13.5" customHeight="1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 ht="13.5" customHeight="1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 ht="13.5" customHeight="1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 ht="13.5" customHeight="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 ht="13.5" customHeight="1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 ht="13.5" customHeight="1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 ht="13.5" customHeight="1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 ht="13.5" customHeight="1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 ht="13.5" customHeight="1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 ht="13.5" customHeight="1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 ht="13.5" customHeight="1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 ht="13.5" customHeight="1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 ht="13.5" customHeight="1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 ht="13.5" customHeight="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 ht="13.5" customHeight="1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 ht="13.5" customHeight="1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 ht="13.5" customHeight="1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 ht="13.5" customHeight="1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 ht="13.5" customHeight="1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 ht="13.5" customHeight="1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 ht="13.5" customHeight="1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 ht="13.5" customHeight="1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 ht="13.5" customHeight="1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 ht="13.5" customHeight="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 ht="13.5" customHeight="1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 ht="13.5" customHeight="1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 ht="13.5" customHeight="1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 ht="13.5" customHeight="1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 ht="13.5" customHeight="1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 ht="13.5" customHeight="1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 ht="13.5" customHeight="1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 ht="13.5" customHeight="1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 ht="13.5" customHeight="1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 ht="13.5" customHeight="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 ht="13.5" customHeight="1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 ht="13.5" customHeight="1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 ht="13.5" customHeight="1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 ht="13.5" customHeight="1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 ht="13.5" customHeight="1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 ht="13.5" customHeight="1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 ht="13.5" customHeight="1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 ht="13.5" customHeight="1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 ht="13.5" customHeight="1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 ht="13.5" customHeight="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 ht="13.5" customHeight="1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 ht="13.5" customHeight="1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 ht="13.5" customHeight="1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 ht="13.5" customHeight="1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 ht="13.5" customHeight="1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 ht="13.5" customHeight="1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 ht="13.5" customHeight="1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 ht="13.5" customHeight="1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 ht="13.5" customHeight="1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 ht="13.5" customHeight="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 ht="13.5" customHeight="1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 ht="13.5" customHeight="1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 ht="13.5" customHeight="1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 ht="13.5" customHeight="1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 ht="13.5" customHeight="1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 ht="13.5" customHeight="1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 ht="13.5" customHeight="1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 ht="13.5" customHeight="1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 ht="13.5" customHeight="1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 ht="13.5" customHeight="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 ht="13.5" customHeight="1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 ht="13.5" customHeight="1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 ht="13.5" customHeight="1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 ht="13.5" customHeight="1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 ht="13.5" customHeight="1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 ht="13.5" customHeight="1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 ht="13.5" customHeight="1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 ht="13.5" customHeight="1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 ht="13.5" customHeight="1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 ht="13.5" customHeight="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 ht="13.5" customHeight="1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 ht="13.5" customHeight="1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 ht="13.5" customHeight="1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 ht="13.5" customHeight="1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 ht="13.5" customHeight="1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 ht="13.5" customHeight="1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 ht="13.5" customHeight="1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 ht="13.5" customHeight="1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 ht="13.5" customHeight="1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 ht="13.5" customHeight="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 ht="13.5" customHeight="1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 ht="13.5" customHeight="1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 ht="13.5" customHeight="1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 ht="13.5" customHeight="1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 ht="13.5" customHeight="1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 ht="13.5" customHeight="1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 ht="13.5" customHeight="1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 ht="13.5" customHeight="1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 ht="13.5" customHeight="1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 ht="13.5" customHeight="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 ht="13.5" customHeight="1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 ht="13.5" customHeight="1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 ht="13.5" customHeight="1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 ht="13.5" customHeight="1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 ht="13.5" customHeight="1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 ht="13.5" customHeight="1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 ht="13.5" customHeight="1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 ht="13.5" customHeight="1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 ht="13.5" customHeight="1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 ht="13.5" customHeight="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 ht="13.5" customHeight="1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 ht="13.5" customHeight="1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 ht="13.5" customHeight="1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 ht="13.5" customHeight="1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 ht="13.5" customHeight="1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 ht="13.5" customHeight="1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 ht="13.5" customHeight="1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 ht="13.5" customHeight="1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 ht="13.5" customHeight="1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 ht="13.5" customHeight="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 ht="13.5" customHeight="1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 ht="13.5" customHeight="1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 ht="13.5" customHeight="1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 ht="13.5" customHeight="1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 ht="13.5" customHeight="1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 ht="13.5" customHeight="1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 ht="13.5" customHeight="1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 ht="13.5" customHeight="1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 ht="13.5" customHeight="1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 ht="13.5" customHeight="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 ht="13.5" customHeight="1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 ht="13.5" customHeight="1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 ht="13.5" customHeight="1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 ht="13.5" customHeight="1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 ht="13.5" customHeight="1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 ht="13.5" customHeight="1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 ht="13.5" customHeight="1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 ht="13.5" customHeight="1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 ht="13.5" customHeight="1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 ht="13.5" customHeight="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 ht="13.5" customHeight="1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 ht="13.5" customHeight="1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 ht="13.5" customHeight="1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 ht="13.5" customHeight="1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 ht="13.5" customHeight="1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 ht="13.5" customHeight="1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 ht="13.5" customHeight="1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 ht="13.5" customHeight="1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 ht="13.5" customHeight="1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 ht="13.5" customHeight="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 ht="13.5" customHeight="1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 ht="13.5" customHeight="1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 ht="13.5" customHeight="1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 ht="13.5" customHeight="1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 ht="13.5" customHeight="1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 ht="13.5" customHeight="1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 ht="13.5" customHeight="1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 ht="13.5" customHeight="1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 ht="13.5" customHeight="1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 ht="13.5" customHeight="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 ht="13.5" customHeight="1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 ht="13.5" customHeight="1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 ht="13.5" customHeight="1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 ht="13.5" customHeight="1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 ht="13.5" customHeight="1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 ht="13.5" customHeight="1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 ht="13.5" customHeight="1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 ht="13.5" customHeight="1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 ht="13.5" customHeight="1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 ht="13.5" customHeight="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 ht="13.5" customHeight="1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 ht="13.5" customHeight="1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 ht="13.5" customHeight="1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 ht="13.5" customHeight="1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 ht="13.5" customHeight="1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 ht="13.5" customHeight="1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 ht="13.5" customHeight="1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 ht="13.5" customHeight="1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 ht="13.5" customHeight="1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 ht="13.5" customHeight="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 ht="13.5" customHeight="1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 ht="13.5" customHeight="1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 ht="13.5" customHeight="1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 ht="13.5" customHeight="1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 ht="13.5" customHeight="1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 ht="13.5" customHeight="1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 ht="13.5" customHeight="1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 ht="13.5" customHeight="1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 ht="13.5" customHeight="1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 ht="13.5" customHeight="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 ht="13.5" customHeight="1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 ht="13.5" customHeight="1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 ht="13.5" customHeight="1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 ht="13.5" customHeight="1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 ht="13.5" customHeight="1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 ht="13.5" customHeight="1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 ht="13.5" customHeight="1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 ht="13.5" customHeight="1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 ht="13.5" customHeight="1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 ht="13.5" customHeight="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 ht="13.5" customHeight="1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 ht="13.5" customHeight="1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 ht="13.5" customHeight="1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 ht="13.5" customHeight="1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 ht="13.5" customHeight="1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 ht="13.5" customHeight="1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 ht="13.5" customHeight="1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 ht="13.5" customHeight="1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 ht="13.5" customHeight="1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 ht="13.5" customHeight="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 ht="13.5" customHeight="1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 ht="13.5" customHeight="1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 ht="13.5" customHeight="1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 ht="13.5" customHeight="1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 ht="13.5" customHeight="1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 ht="13.5" customHeight="1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 ht="13.5" customHeight="1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 ht="13.5" customHeight="1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 ht="13.5" customHeight="1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 ht="13.5" customHeight="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 ht="13.5" customHeight="1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 ht="13.5" customHeight="1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 ht="13.5" customHeight="1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 ht="13.5" customHeight="1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 ht="13.5" customHeight="1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 ht="13.5" customHeight="1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 ht="13.5" customHeight="1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 ht="13.5" customHeight="1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 ht="13.5" customHeight="1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 ht="13.5" customHeight="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 ht="13.5" customHeight="1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 ht="13.5" customHeight="1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 ht="13.5" customHeight="1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 ht="13.5" customHeight="1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 ht="13.5" customHeight="1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 ht="13.5" customHeight="1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 ht="13.5" customHeight="1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 ht="13.5" customHeight="1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 ht="13.5" customHeight="1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 ht="13.5" customHeight="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 ht="13.5" customHeight="1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 ht="13.5" customHeight="1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 ht="13.5" customHeight="1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 ht="13.5" customHeight="1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 ht="13.5" customHeight="1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 ht="13.5" customHeight="1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 ht="13.5" customHeight="1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 ht="13.5" customHeight="1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 ht="13.5" customHeight="1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 ht="13.5" customHeight="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 ht="13.5" customHeight="1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 ht="13.5" customHeight="1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 ht="13.5" customHeight="1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 ht="13.5" customHeight="1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 ht="13.5" customHeight="1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 ht="13.5" customHeight="1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 ht="13.5" customHeight="1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 ht="13.5" customHeight="1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 ht="13.5" customHeight="1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 ht="13.5" customHeight="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 ht="13.5" customHeight="1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 ht="13.5" customHeight="1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 ht="13.5" customHeight="1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 ht="13.5" customHeight="1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 ht="13.5" customHeight="1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 ht="13.5" customHeight="1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 ht="13.5" customHeight="1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 ht="13.5" customHeight="1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 ht="13.5" customHeight="1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 ht="13.5" customHeight="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 ht="13.5" customHeight="1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 ht="13.5" customHeight="1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 ht="13.5" customHeight="1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 ht="13.5" customHeight="1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 ht="13.5" customHeight="1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 ht="13.5" customHeight="1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 ht="13.5" customHeight="1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 ht="13.5" customHeight="1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 ht="13.5" customHeight="1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 ht="13.5" customHeight="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 ht="13.5" customHeight="1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 ht="13.5" customHeight="1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 ht="13.5" customHeight="1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 ht="13.5" customHeight="1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 ht="13.5" customHeight="1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 ht="13.5" customHeight="1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 ht="13.5" customHeight="1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 ht="13.5" customHeight="1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 ht="13.5" customHeight="1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 ht="13.5" customHeight="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 ht="13.5" customHeight="1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 ht="13.5" customHeight="1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 ht="13.5" customHeight="1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 ht="13.5" customHeight="1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 ht="13.5" customHeight="1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 ht="13.5" customHeight="1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 ht="13.5" customHeight="1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 ht="13.5" customHeight="1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 ht="13.5" customHeight="1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 ht="13.5" customHeight="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 ht="13.5" customHeight="1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 ht="13.5" customHeight="1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 ht="13.5" customHeight="1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 ht="13.5" customHeight="1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 ht="13.5" customHeight="1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 ht="13.5" customHeight="1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 ht="13.5" customHeight="1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 ht="13.5" customHeight="1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 ht="13.5" customHeight="1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 ht="13.5" customHeight="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 ht="13.5" customHeight="1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 ht="13.5" customHeight="1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 ht="13.5" customHeight="1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 ht="13.5" customHeight="1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 ht="13.5" customHeight="1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 ht="13.5" customHeight="1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 ht="13.5" customHeight="1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 ht="13.5" customHeight="1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 ht="13.5" customHeight="1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 ht="13.5" customHeight="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 ht="13.5" customHeight="1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 ht="13.5" customHeight="1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 ht="13.5" customHeight="1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 ht="13.5" customHeight="1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 ht="13.5" customHeight="1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 ht="13.5" customHeight="1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 ht="13.5" customHeight="1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 ht="13.5" customHeight="1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 ht="13.5" customHeight="1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 ht="13.5" customHeight="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 ht="13.5" customHeight="1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 ht="13.5" customHeight="1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 ht="13.5" customHeight="1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 ht="13.5" customHeight="1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 ht="13.5" customHeight="1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 ht="13.5" customHeight="1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 ht="13.5" customHeight="1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 ht="13.5" customHeight="1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 ht="13.5" customHeight="1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 ht="13.5" customHeight="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 ht="13.5" customHeight="1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 ht="13.5" customHeight="1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 ht="13.5" customHeight="1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 ht="13.5" customHeight="1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 ht="13.5" customHeight="1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 ht="13.5" customHeight="1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 ht="13.5" customHeight="1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 ht="13.5" customHeight="1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 ht="13.5" customHeight="1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 ht="13.5" customHeight="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 ht="13.5" customHeight="1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 ht="13.5" customHeight="1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 ht="13.5" customHeight="1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 ht="13.5" customHeight="1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 ht="13.5" customHeight="1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 ht="13.5" customHeight="1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 ht="13.5" customHeight="1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 ht="13.5" customHeight="1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 ht="13.5" customHeight="1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 ht="13.5" customHeight="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 ht="13.5" customHeight="1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 ht="13.5" customHeight="1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 ht="13.5" customHeight="1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 ht="13.5" customHeight="1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 ht="13.5" customHeight="1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 ht="13.5" customHeight="1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 ht="13.5" customHeight="1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 ht="13.5" customHeight="1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 ht="13.5" customHeight="1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 ht="13.5" customHeight="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 ht="13.5" customHeight="1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 ht="13.5" customHeight="1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 ht="13.5" customHeight="1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 ht="13.5" customHeight="1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 ht="13.5" customHeight="1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 ht="13.5" customHeight="1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 ht="13.5" customHeight="1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 ht="13.5" customHeight="1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 ht="13.5" customHeight="1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 ht="13.5" customHeight="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 ht="13.5" customHeight="1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 ht="13.5" customHeight="1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 ht="13.5" customHeight="1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 ht="13.5" customHeight="1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 ht="13.5" customHeight="1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 ht="13.5" customHeight="1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 ht="13.5" customHeight="1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 ht="13.5" customHeight="1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 ht="13.5" customHeight="1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mergeCells count="40">
    <mergeCell ref="A1:T1"/>
    <mergeCell ref="C2:D2"/>
    <mergeCell ref="G2:K2"/>
    <mergeCell ref="M2:S2"/>
    <mergeCell ref="C3:D3"/>
    <mergeCell ref="G3:H3"/>
    <mergeCell ref="J3:N3"/>
    <mergeCell ref="A4:E11"/>
    <mergeCell ref="F4:J11"/>
    <mergeCell ref="K4:O11"/>
    <mergeCell ref="P4:T11"/>
    <mergeCell ref="G12:J12"/>
    <mergeCell ref="L12:O12"/>
    <mergeCell ref="Q12:T12"/>
    <mergeCell ref="L21:O21"/>
    <mergeCell ref="Q21:T21"/>
    <mergeCell ref="B12:E12"/>
    <mergeCell ref="A13:E20"/>
    <mergeCell ref="F13:J20"/>
    <mergeCell ref="K13:O20"/>
    <mergeCell ref="P13:T20"/>
    <mergeCell ref="B21:E21"/>
    <mergeCell ref="G21:J21"/>
    <mergeCell ref="A22:E29"/>
    <mergeCell ref="F22:J29"/>
    <mergeCell ref="K22:O29"/>
    <mergeCell ref="P22:T29"/>
    <mergeCell ref="G30:J30"/>
    <mergeCell ref="L30:O30"/>
    <mergeCell ref="Q30:T30"/>
    <mergeCell ref="L39:O39"/>
    <mergeCell ref="Q39:T39"/>
    <mergeCell ref="B30:E30"/>
    <mergeCell ref="A31:E38"/>
    <mergeCell ref="F31:J38"/>
    <mergeCell ref="K31:O38"/>
    <mergeCell ref="P31:T38"/>
    <mergeCell ref="B39:E39"/>
    <mergeCell ref="G39:J39"/>
    <mergeCell ref="A40:T40"/>
  </mergeCells>
  <printOptions/>
  <pageMargins bottom="0.0" footer="0.0" header="0.0" left="0.0" right="0.0" top="0.25"/>
  <pageSetup paperSize="9" scale="31"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C99FF"/>
    <pageSetUpPr/>
  </sheetPr>
  <sheetViews>
    <sheetView workbookViewId="0"/>
  </sheetViews>
  <sheetFormatPr customHeight="1" defaultColWidth="12.63" defaultRowHeight="15.0"/>
  <cols>
    <col customWidth="1" min="1" max="11" width="14.88"/>
    <col customWidth="1" min="12" max="12" width="11.75"/>
    <col customWidth="1" min="13" max="14" width="14.88"/>
    <col customWidth="1" min="15" max="15" width="21.63"/>
    <col customWidth="1" min="16" max="16" width="6.0"/>
    <col customWidth="1" min="17" max="17" width="14.88"/>
    <col customWidth="1" min="18" max="18" width="18.63"/>
    <col customWidth="1" min="19" max="19" width="19.38"/>
    <col customWidth="1" min="20" max="20" width="14.88"/>
    <col customWidth="1" min="21" max="26" width="10.25"/>
  </cols>
  <sheetData>
    <row r="1" ht="49.5" customHeight="1">
      <c r="A1" s="156"/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9"/>
      <c r="V1" s="9"/>
      <c r="W1" s="9"/>
      <c r="X1" s="9"/>
      <c r="Y1" s="9"/>
      <c r="Z1" s="9"/>
    </row>
    <row r="2" ht="42.75" customHeight="1">
      <c r="A2" s="11" t="s">
        <v>3</v>
      </c>
      <c r="B2" s="12"/>
      <c r="C2" s="17" t="str">
        <f>'Picture Major Defects '!C2</f>
        <v/>
      </c>
      <c r="D2" s="15"/>
      <c r="E2" s="19" t="s">
        <v>5</v>
      </c>
      <c r="F2" s="12"/>
      <c r="G2" s="17" t="str">
        <f>'Picture Major Defects '!G2</f>
        <v/>
      </c>
      <c r="H2" s="14"/>
      <c r="I2" s="14"/>
      <c r="J2" s="14"/>
      <c r="K2" s="15"/>
      <c r="L2" s="20" t="s">
        <v>6</v>
      </c>
      <c r="M2" s="17" t="str">
        <f>'Picture Major Defects '!M2</f>
        <v/>
      </c>
      <c r="N2" s="14"/>
      <c r="O2" s="14"/>
      <c r="P2" s="14"/>
      <c r="Q2" s="14"/>
      <c r="R2" s="14"/>
      <c r="S2" s="21"/>
      <c r="T2" s="10"/>
      <c r="U2" s="10"/>
      <c r="V2" s="10"/>
      <c r="W2" s="10"/>
      <c r="X2" s="10"/>
      <c r="Y2" s="10"/>
      <c r="Z2" s="10"/>
    </row>
    <row r="3" ht="42.75" customHeight="1">
      <c r="A3" s="25" t="s">
        <v>7</v>
      </c>
      <c r="B3" s="26"/>
      <c r="C3" s="28">
        <f>'Picture Major Defects '!C3</f>
        <v>20000</v>
      </c>
      <c r="D3" s="24"/>
      <c r="E3" s="31" t="s">
        <v>9</v>
      </c>
      <c r="F3" s="33"/>
      <c r="G3" s="28">
        <f>'Picture Major Defects '!G3</f>
        <v>315</v>
      </c>
      <c r="H3" s="24"/>
      <c r="I3" s="31" t="s">
        <v>10</v>
      </c>
      <c r="J3" s="38" t="str">
        <f>'Main Report (2)'!J5</f>
        <v/>
      </c>
      <c r="K3" s="23"/>
      <c r="L3" s="23"/>
      <c r="M3" s="23"/>
      <c r="N3" s="24"/>
      <c r="O3" s="31" t="s">
        <v>12</v>
      </c>
      <c r="P3" s="166" t="str">
        <f>'Picture Major Defects '!Q3</f>
        <v/>
      </c>
      <c r="Q3" s="24"/>
      <c r="R3" s="45" t="s">
        <v>14</v>
      </c>
      <c r="S3" s="47" t="str">
        <f>'Picture Major Defects '!S3</f>
        <v/>
      </c>
      <c r="T3" s="10"/>
      <c r="U3" s="10"/>
      <c r="V3" s="10"/>
      <c r="W3" s="10"/>
      <c r="X3" s="10"/>
      <c r="Y3" s="10"/>
      <c r="Z3" s="10"/>
    </row>
    <row r="4" ht="46.5" customHeight="1">
      <c r="A4" s="168"/>
      <c r="B4" s="53"/>
      <c r="C4" s="53"/>
      <c r="D4" s="53"/>
      <c r="E4" s="55"/>
      <c r="F4" s="169"/>
      <c r="G4" s="53"/>
      <c r="H4" s="53"/>
      <c r="I4" s="53"/>
      <c r="J4" s="55"/>
      <c r="K4" s="169"/>
      <c r="L4" s="53"/>
      <c r="M4" s="53"/>
      <c r="N4" s="53"/>
      <c r="O4" s="55"/>
      <c r="P4" s="170"/>
      <c r="Q4" s="171"/>
      <c r="R4" s="171"/>
      <c r="S4" s="171"/>
      <c r="T4" s="172"/>
      <c r="U4" s="9"/>
      <c r="V4" s="9"/>
      <c r="W4" s="9"/>
      <c r="X4" s="9"/>
      <c r="Y4" s="9"/>
      <c r="Z4" s="9"/>
    </row>
    <row r="5" ht="46.5" customHeight="1">
      <c r="A5" s="54"/>
      <c r="E5" s="62"/>
      <c r="F5" s="63"/>
      <c r="J5" s="62"/>
      <c r="K5" s="63"/>
      <c r="O5" s="62"/>
      <c r="P5" s="63"/>
      <c r="T5" s="48"/>
      <c r="U5" s="9"/>
      <c r="V5" s="9"/>
      <c r="W5" s="9"/>
      <c r="X5" s="9"/>
      <c r="Y5" s="9"/>
      <c r="Z5" s="9"/>
    </row>
    <row r="6" ht="46.5" customHeight="1">
      <c r="A6" s="54"/>
      <c r="E6" s="62"/>
      <c r="F6" s="63"/>
      <c r="J6" s="62"/>
      <c r="K6" s="63"/>
      <c r="O6" s="62"/>
      <c r="P6" s="63"/>
      <c r="T6" s="48"/>
      <c r="U6" s="9"/>
      <c r="V6" s="9"/>
      <c r="W6" s="9"/>
      <c r="X6" s="9"/>
      <c r="Y6" s="9"/>
      <c r="Z6" s="9"/>
    </row>
    <row r="7" ht="46.5" customHeight="1">
      <c r="A7" s="54"/>
      <c r="E7" s="62"/>
      <c r="F7" s="63"/>
      <c r="J7" s="62"/>
      <c r="K7" s="63"/>
      <c r="O7" s="62"/>
      <c r="P7" s="63"/>
      <c r="T7" s="48"/>
      <c r="U7" s="9"/>
      <c r="V7" s="9"/>
      <c r="W7" s="9"/>
      <c r="X7" s="9"/>
      <c r="Y7" s="9"/>
      <c r="Z7" s="9"/>
    </row>
    <row r="8" ht="46.5" customHeight="1">
      <c r="A8" s="54"/>
      <c r="E8" s="62"/>
      <c r="F8" s="63"/>
      <c r="J8" s="62"/>
      <c r="K8" s="63"/>
      <c r="O8" s="62"/>
      <c r="P8" s="63"/>
      <c r="T8" s="48"/>
      <c r="U8" s="9"/>
      <c r="V8" s="9"/>
      <c r="W8" s="9"/>
      <c r="X8" s="9"/>
      <c r="Y8" s="9"/>
      <c r="Z8" s="9"/>
    </row>
    <row r="9" ht="46.5" customHeight="1">
      <c r="A9" s="54"/>
      <c r="E9" s="62"/>
      <c r="F9" s="63"/>
      <c r="J9" s="62"/>
      <c r="K9" s="63"/>
      <c r="O9" s="62"/>
      <c r="P9" s="63"/>
      <c r="T9" s="48"/>
      <c r="U9" s="9"/>
      <c r="V9" s="9"/>
      <c r="W9" s="9"/>
      <c r="X9" s="9"/>
      <c r="Y9" s="9"/>
      <c r="Z9" s="9"/>
    </row>
    <row r="10" ht="46.5" customHeight="1">
      <c r="A10" s="54"/>
      <c r="E10" s="62"/>
      <c r="F10" s="63"/>
      <c r="J10" s="62"/>
      <c r="K10" s="63"/>
      <c r="O10" s="62"/>
      <c r="P10" s="63"/>
      <c r="T10" s="48"/>
      <c r="U10" s="9"/>
      <c r="V10" s="9"/>
      <c r="W10" s="9"/>
      <c r="X10" s="9"/>
      <c r="Y10" s="9"/>
      <c r="Z10" s="9"/>
    </row>
    <row r="11" ht="46.5" customHeight="1">
      <c r="A11" s="73"/>
      <c r="B11" s="6"/>
      <c r="C11" s="6"/>
      <c r="D11" s="6"/>
      <c r="E11" s="75"/>
      <c r="F11" s="76"/>
      <c r="G11" s="6"/>
      <c r="H11" s="6"/>
      <c r="I11" s="6"/>
      <c r="J11" s="75"/>
      <c r="K11" s="76"/>
      <c r="L11" s="6"/>
      <c r="M11" s="6"/>
      <c r="N11" s="6"/>
      <c r="O11" s="75"/>
      <c r="P11" s="76"/>
      <c r="Q11" s="6"/>
      <c r="R11" s="6"/>
      <c r="S11" s="6"/>
      <c r="T11" s="78"/>
      <c r="U11" s="9"/>
      <c r="V11" s="9"/>
      <c r="W11" s="9"/>
      <c r="X11" s="9"/>
      <c r="Y11" s="9"/>
      <c r="Z11" s="9"/>
    </row>
    <row r="12" ht="46.5" customHeight="1">
      <c r="A12" s="176" t="s">
        <v>24</v>
      </c>
      <c r="B12" s="177"/>
      <c r="C12" s="34"/>
      <c r="D12" s="34"/>
      <c r="E12" s="37"/>
      <c r="F12" s="178" t="s">
        <v>24</v>
      </c>
      <c r="G12" s="177"/>
      <c r="H12" s="34"/>
      <c r="I12" s="34"/>
      <c r="J12" s="37"/>
      <c r="K12" s="178" t="s">
        <v>24</v>
      </c>
      <c r="L12" s="177"/>
      <c r="M12" s="34"/>
      <c r="N12" s="34"/>
      <c r="O12" s="37"/>
      <c r="P12" s="178" t="s">
        <v>24</v>
      </c>
      <c r="Q12" s="177"/>
      <c r="R12" s="34"/>
      <c r="S12" s="34"/>
      <c r="T12" s="37"/>
      <c r="U12" s="9"/>
      <c r="V12" s="9"/>
      <c r="W12" s="9"/>
      <c r="X12" s="9"/>
      <c r="Y12" s="9"/>
      <c r="Z12" s="9"/>
    </row>
    <row r="13" ht="46.5" customHeight="1">
      <c r="A13" s="180"/>
      <c r="B13" s="90"/>
      <c r="C13" s="90"/>
      <c r="D13" s="90"/>
      <c r="E13" s="91"/>
      <c r="F13" s="181"/>
      <c r="G13" s="90"/>
      <c r="H13" s="90"/>
      <c r="I13" s="90"/>
      <c r="J13" s="91"/>
      <c r="K13" s="181"/>
      <c r="L13" s="90"/>
      <c r="M13" s="90"/>
      <c r="N13" s="90"/>
      <c r="O13" s="91"/>
      <c r="P13" s="181"/>
      <c r="Q13" s="90"/>
      <c r="R13" s="90"/>
      <c r="S13" s="90"/>
      <c r="T13" s="95"/>
      <c r="U13" s="9"/>
      <c r="V13" s="9"/>
      <c r="W13" s="9"/>
      <c r="X13" s="9"/>
      <c r="Y13" s="9"/>
      <c r="Z13" s="9"/>
    </row>
    <row r="14" ht="46.5" customHeight="1">
      <c r="A14" s="54"/>
      <c r="E14" s="62"/>
      <c r="F14" s="63"/>
      <c r="J14" s="62"/>
      <c r="K14" s="63"/>
      <c r="O14" s="62"/>
      <c r="P14" s="63"/>
      <c r="T14" s="48"/>
      <c r="U14" s="9"/>
      <c r="V14" s="9"/>
      <c r="W14" s="9"/>
      <c r="X14" s="9"/>
      <c r="Y14" s="9"/>
      <c r="Z14" s="9"/>
    </row>
    <row r="15" ht="46.5" customHeight="1">
      <c r="A15" s="54"/>
      <c r="E15" s="62"/>
      <c r="F15" s="63"/>
      <c r="J15" s="62"/>
      <c r="K15" s="63"/>
      <c r="O15" s="62"/>
      <c r="P15" s="63"/>
      <c r="T15" s="48"/>
      <c r="U15" s="9"/>
      <c r="V15" s="9"/>
      <c r="W15" s="9"/>
      <c r="X15" s="9"/>
      <c r="Y15" s="9"/>
      <c r="Z15" s="9"/>
    </row>
    <row r="16" ht="46.5" customHeight="1">
      <c r="A16" s="54"/>
      <c r="E16" s="62"/>
      <c r="F16" s="63"/>
      <c r="J16" s="62"/>
      <c r="K16" s="63"/>
      <c r="O16" s="62"/>
      <c r="P16" s="63"/>
      <c r="T16" s="48"/>
      <c r="U16" s="9"/>
      <c r="V16" s="9"/>
      <c r="W16" s="9"/>
      <c r="X16" s="9"/>
      <c r="Y16" s="9"/>
      <c r="Z16" s="9"/>
    </row>
    <row r="17" ht="46.5" customHeight="1">
      <c r="A17" s="54"/>
      <c r="E17" s="62"/>
      <c r="F17" s="63"/>
      <c r="J17" s="62"/>
      <c r="K17" s="63"/>
      <c r="O17" s="62"/>
      <c r="P17" s="63"/>
      <c r="T17" s="48"/>
      <c r="U17" s="9"/>
      <c r="V17" s="9"/>
      <c r="W17" s="9"/>
      <c r="X17" s="9"/>
      <c r="Y17" s="9"/>
      <c r="Z17" s="9"/>
    </row>
    <row r="18" ht="46.5" customHeight="1">
      <c r="A18" s="54"/>
      <c r="E18" s="62"/>
      <c r="F18" s="63"/>
      <c r="J18" s="62"/>
      <c r="K18" s="63"/>
      <c r="O18" s="62"/>
      <c r="P18" s="63"/>
      <c r="T18" s="48"/>
      <c r="U18" s="9"/>
      <c r="V18" s="9"/>
      <c r="W18" s="9"/>
      <c r="X18" s="9"/>
      <c r="Y18" s="9"/>
      <c r="Z18" s="9"/>
    </row>
    <row r="19" ht="46.5" customHeight="1">
      <c r="A19" s="54"/>
      <c r="E19" s="62"/>
      <c r="F19" s="63"/>
      <c r="J19" s="62"/>
      <c r="K19" s="63"/>
      <c r="O19" s="62"/>
      <c r="P19" s="63"/>
      <c r="T19" s="48"/>
      <c r="U19" s="9"/>
      <c r="V19" s="9"/>
      <c r="W19" s="9"/>
      <c r="X19" s="9"/>
      <c r="Y19" s="9"/>
      <c r="Z19" s="9"/>
    </row>
    <row r="20" ht="46.5" customHeight="1">
      <c r="A20" s="73"/>
      <c r="B20" s="6"/>
      <c r="C20" s="6"/>
      <c r="D20" s="6"/>
      <c r="E20" s="75"/>
      <c r="F20" s="76"/>
      <c r="G20" s="6"/>
      <c r="H20" s="6"/>
      <c r="I20" s="6"/>
      <c r="J20" s="75"/>
      <c r="K20" s="76"/>
      <c r="L20" s="6"/>
      <c r="M20" s="6"/>
      <c r="N20" s="6"/>
      <c r="O20" s="75"/>
      <c r="P20" s="76"/>
      <c r="Q20" s="6"/>
      <c r="R20" s="6"/>
      <c r="S20" s="6"/>
      <c r="T20" s="78"/>
      <c r="U20" s="9"/>
      <c r="V20" s="9"/>
      <c r="W20" s="9"/>
      <c r="X20" s="9"/>
      <c r="Y20" s="9"/>
      <c r="Z20" s="9"/>
    </row>
    <row r="21" ht="46.5" customHeight="1">
      <c r="A21" s="176" t="s">
        <v>24</v>
      </c>
      <c r="B21" s="177"/>
      <c r="C21" s="34"/>
      <c r="D21" s="34"/>
      <c r="E21" s="37"/>
      <c r="F21" s="178" t="s">
        <v>24</v>
      </c>
      <c r="G21" s="177"/>
      <c r="H21" s="34"/>
      <c r="I21" s="34"/>
      <c r="J21" s="37"/>
      <c r="K21" s="178" t="s">
        <v>24</v>
      </c>
      <c r="L21" s="177"/>
      <c r="M21" s="34"/>
      <c r="N21" s="34"/>
      <c r="O21" s="37"/>
      <c r="P21" s="178" t="s">
        <v>24</v>
      </c>
      <c r="Q21" s="177"/>
      <c r="R21" s="34"/>
      <c r="S21" s="34"/>
      <c r="T21" s="108"/>
      <c r="U21" s="9"/>
      <c r="V21" s="9"/>
      <c r="W21" s="9"/>
      <c r="X21" s="9"/>
      <c r="Y21" s="9"/>
      <c r="Z21" s="9"/>
    </row>
    <row r="22" ht="46.5" customHeight="1">
      <c r="A22" s="180"/>
      <c r="B22" s="90"/>
      <c r="C22" s="90"/>
      <c r="D22" s="90"/>
      <c r="E22" s="91"/>
      <c r="F22" s="181"/>
      <c r="G22" s="90"/>
      <c r="H22" s="90"/>
      <c r="I22" s="90"/>
      <c r="J22" s="91"/>
      <c r="K22" s="181"/>
      <c r="L22" s="90"/>
      <c r="M22" s="90"/>
      <c r="N22" s="90"/>
      <c r="O22" s="91"/>
      <c r="P22" s="181"/>
      <c r="Q22" s="90"/>
      <c r="R22" s="90"/>
      <c r="S22" s="90"/>
      <c r="T22" s="95"/>
      <c r="U22" s="9"/>
      <c r="V22" s="9"/>
      <c r="W22" s="9"/>
      <c r="X22" s="9"/>
      <c r="Y22" s="9"/>
      <c r="Z22" s="9"/>
    </row>
    <row r="23" ht="46.5" customHeight="1">
      <c r="A23" s="54"/>
      <c r="E23" s="62"/>
      <c r="F23" s="63"/>
      <c r="J23" s="62"/>
      <c r="K23" s="63"/>
      <c r="O23" s="62"/>
      <c r="P23" s="63"/>
      <c r="T23" s="48"/>
      <c r="U23" s="9"/>
      <c r="V23" s="9"/>
      <c r="W23" s="9"/>
      <c r="X23" s="9"/>
      <c r="Y23" s="9"/>
      <c r="Z23" s="9"/>
    </row>
    <row r="24" ht="46.5" customHeight="1">
      <c r="A24" s="54"/>
      <c r="E24" s="62"/>
      <c r="F24" s="63"/>
      <c r="J24" s="62"/>
      <c r="K24" s="63"/>
      <c r="O24" s="62"/>
      <c r="P24" s="63"/>
      <c r="T24" s="48"/>
      <c r="U24" s="9"/>
      <c r="V24" s="9"/>
      <c r="W24" s="9"/>
      <c r="X24" s="9"/>
      <c r="Y24" s="9"/>
      <c r="Z24" s="9"/>
    </row>
    <row r="25" ht="46.5" customHeight="1">
      <c r="A25" s="54"/>
      <c r="E25" s="62"/>
      <c r="F25" s="63"/>
      <c r="J25" s="62"/>
      <c r="K25" s="63"/>
      <c r="O25" s="62"/>
      <c r="P25" s="63"/>
      <c r="T25" s="48"/>
      <c r="U25" s="9"/>
      <c r="V25" s="9"/>
      <c r="W25" s="9"/>
      <c r="X25" s="9"/>
      <c r="Y25" s="9"/>
      <c r="Z25" s="9"/>
    </row>
    <row r="26" ht="46.5" customHeight="1">
      <c r="A26" s="54"/>
      <c r="E26" s="62"/>
      <c r="F26" s="63"/>
      <c r="J26" s="62"/>
      <c r="K26" s="63"/>
      <c r="O26" s="62"/>
      <c r="P26" s="63"/>
      <c r="T26" s="48"/>
      <c r="U26" s="9"/>
      <c r="V26" s="9"/>
      <c r="W26" s="9"/>
      <c r="X26" s="9"/>
      <c r="Y26" s="9"/>
      <c r="Z26" s="9"/>
    </row>
    <row r="27" ht="46.5" customHeight="1">
      <c r="A27" s="54"/>
      <c r="E27" s="62"/>
      <c r="F27" s="63"/>
      <c r="J27" s="62"/>
      <c r="K27" s="63"/>
      <c r="O27" s="62"/>
      <c r="P27" s="63"/>
      <c r="T27" s="48"/>
      <c r="U27" s="9"/>
      <c r="V27" s="9"/>
      <c r="W27" s="9"/>
      <c r="X27" s="9"/>
      <c r="Y27" s="9"/>
      <c r="Z27" s="9"/>
    </row>
    <row r="28" ht="46.5" customHeight="1">
      <c r="A28" s="54"/>
      <c r="E28" s="62"/>
      <c r="F28" s="63"/>
      <c r="J28" s="62"/>
      <c r="K28" s="63"/>
      <c r="O28" s="62"/>
      <c r="P28" s="63"/>
      <c r="T28" s="48"/>
      <c r="U28" s="9"/>
      <c r="V28" s="9"/>
      <c r="W28" s="9"/>
      <c r="X28" s="9"/>
      <c r="Y28" s="9"/>
      <c r="Z28" s="9"/>
    </row>
    <row r="29" ht="46.5" customHeight="1">
      <c r="A29" s="73"/>
      <c r="B29" s="6"/>
      <c r="C29" s="6"/>
      <c r="D29" s="6"/>
      <c r="E29" s="75"/>
      <c r="F29" s="76"/>
      <c r="G29" s="6"/>
      <c r="H29" s="6"/>
      <c r="I29" s="6"/>
      <c r="J29" s="75"/>
      <c r="K29" s="76"/>
      <c r="L29" s="6"/>
      <c r="M29" s="6"/>
      <c r="N29" s="6"/>
      <c r="O29" s="75"/>
      <c r="P29" s="76"/>
      <c r="Q29" s="6"/>
      <c r="R29" s="6"/>
      <c r="S29" s="6"/>
      <c r="T29" s="78"/>
      <c r="U29" s="9"/>
      <c r="V29" s="9"/>
      <c r="W29" s="9"/>
      <c r="X29" s="9"/>
      <c r="Y29" s="9"/>
      <c r="Z29" s="9"/>
    </row>
    <row r="30" ht="46.5" customHeight="1">
      <c r="A30" s="176" t="s">
        <v>24</v>
      </c>
      <c r="B30" s="177"/>
      <c r="C30" s="34"/>
      <c r="D30" s="34"/>
      <c r="E30" s="37"/>
      <c r="F30" s="178" t="s">
        <v>24</v>
      </c>
      <c r="G30" s="177"/>
      <c r="H30" s="34"/>
      <c r="I30" s="34"/>
      <c r="J30" s="37"/>
      <c r="K30" s="178" t="s">
        <v>24</v>
      </c>
      <c r="L30" s="177"/>
      <c r="M30" s="34"/>
      <c r="N30" s="34"/>
      <c r="O30" s="37"/>
      <c r="P30" s="178" t="s">
        <v>24</v>
      </c>
      <c r="Q30" s="177"/>
      <c r="R30" s="34"/>
      <c r="S30" s="34"/>
      <c r="T30" s="108"/>
      <c r="U30" s="9"/>
      <c r="V30" s="9"/>
      <c r="W30" s="9"/>
      <c r="X30" s="9"/>
      <c r="Y30" s="9"/>
      <c r="Z30" s="9"/>
    </row>
    <row r="31" ht="46.5" customHeight="1">
      <c r="A31" s="180"/>
      <c r="B31" s="90"/>
      <c r="C31" s="90"/>
      <c r="D31" s="90"/>
      <c r="E31" s="91"/>
      <c r="F31" s="181"/>
      <c r="G31" s="90"/>
      <c r="H31" s="90"/>
      <c r="I31" s="90"/>
      <c r="J31" s="91"/>
      <c r="K31" s="181"/>
      <c r="L31" s="90"/>
      <c r="M31" s="90"/>
      <c r="N31" s="90"/>
      <c r="O31" s="91"/>
      <c r="P31" s="181"/>
      <c r="Q31" s="90"/>
      <c r="R31" s="90"/>
      <c r="S31" s="90"/>
      <c r="T31" s="95"/>
      <c r="U31" s="9"/>
      <c r="V31" s="9"/>
      <c r="W31" s="9"/>
      <c r="X31" s="9"/>
      <c r="Y31" s="9"/>
      <c r="Z31" s="9"/>
    </row>
    <row r="32" ht="46.5" customHeight="1">
      <c r="A32" s="54"/>
      <c r="E32" s="62"/>
      <c r="F32" s="63"/>
      <c r="J32" s="62"/>
      <c r="K32" s="63"/>
      <c r="O32" s="62"/>
      <c r="P32" s="63"/>
      <c r="T32" s="48"/>
      <c r="U32" s="9"/>
      <c r="V32" s="9"/>
      <c r="W32" s="9"/>
      <c r="X32" s="9"/>
      <c r="Y32" s="9"/>
      <c r="Z32" s="9"/>
    </row>
    <row r="33" ht="46.5" customHeight="1">
      <c r="A33" s="54"/>
      <c r="E33" s="62"/>
      <c r="F33" s="63"/>
      <c r="J33" s="62"/>
      <c r="K33" s="63"/>
      <c r="O33" s="62"/>
      <c r="P33" s="63"/>
      <c r="T33" s="48"/>
      <c r="U33" s="9"/>
      <c r="V33" s="9"/>
      <c r="W33" s="9"/>
      <c r="X33" s="9"/>
      <c r="Y33" s="9"/>
      <c r="Z33" s="9"/>
    </row>
    <row r="34" ht="46.5" customHeight="1">
      <c r="A34" s="54"/>
      <c r="E34" s="62"/>
      <c r="F34" s="63"/>
      <c r="J34" s="62"/>
      <c r="K34" s="63"/>
      <c r="O34" s="62"/>
      <c r="P34" s="63"/>
      <c r="T34" s="48"/>
      <c r="U34" s="9"/>
      <c r="V34" s="9"/>
      <c r="W34" s="9"/>
      <c r="X34" s="9"/>
      <c r="Y34" s="9"/>
      <c r="Z34" s="9"/>
    </row>
    <row r="35" ht="46.5" customHeight="1">
      <c r="A35" s="54"/>
      <c r="E35" s="62"/>
      <c r="F35" s="63"/>
      <c r="J35" s="62"/>
      <c r="K35" s="63"/>
      <c r="O35" s="62"/>
      <c r="P35" s="63"/>
      <c r="T35" s="48"/>
      <c r="U35" s="9"/>
      <c r="V35" s="9"/>
      <c r="W35" s="9"/>
      <c r="X35" s="9"/>
      <c r="Y35" s="9"/>
      <c r="Z35" s="9"/>
    </row>
    <row r="36" ht="46.5" customHeight="1">
      <c r="A36" s="54"/>
      <c r="E36" s="62"/>
      <c r="F36" s="63"/>
      <c r="J36" s="62"/>
      <c r="K36" s="63"/>
      <c r="O36" s="62"/>
      <c r="P36" s="63"/>
      <c r="T36" s="48"/>
      <c r="U36" s="9"/>
      <c r="V36" s="9"/>
      <c r="W36" s="9"/>
      <c r="X36" s="9"/>
      <c r="Y36" s="9"/>
      <c r="Z36" s="9"/>
    </row>
    <row r="37" ht="46.5" customHeight="1">
      <c r="A37" s="54"/>
      <c r="E37" s="62"/>
      <c r="F37" s="63"/>
      <c r="J37" s="62"/>
      <c r="K37" s="63"/>
      <c r="O37" s="62"/>
      <c r="P37" s="63"/>
      <c r="T37" s="48"/>
      <c r="U37" s="9"/>
      <c r="V37" s="9"/>
      <c r="W37" s="9"/>
      <c r="X37" s="9"/>
      <c r="Y37" s="9"/>
      <c r="Z37" s="9"/>
    </row>
    <row r="38" ht="46.5" customHeight="1">
      <c r="A38" s="73"/>
      <c r="B38" s="6"/>
      <c r="C38" s="6"/>
      <c r="D38" s="6"/>
      <c r="E38" s="75"/>
      <c r="F38" s="76"/>
      <c r="G38" s="6"/>
      <c r="H38" s="6"/>
      <c r="I38" s="6"/>
      <c r="J38" s="75"/>
      <c r="K38" s="76"/>
      <c r="L38" s="6"/>
      <c r="M38" s="6"/>
      <c r="N38" s="6"/>
      <c r="O38" s="75"/>
      <c r="P38" s="76"/>
      <c r="Q38" s="6"/>
      <c r="R38" s="6"/>
      <c r="S38" s="6"/>
      <c r="T38" s="78"/>
      <c r="U38" s="9"/>
      <c r="V38" s="9"/>
      <c r="W38" s="9"/>
      <c r="X38" s="9"/>
      <c r="Y38" s="9"/>
      <c r="Z38" s="9"/>
    </row>
    <row r="39" ht="46.5" customHeight="1">
      <c r="A39" s="213" t="s">
        <v>24</v>
      </c>
      <c r="B39" s="214"/>
      <c r="C39" s="23"/>
      <c r="D39" s="23"/>
      <c r="E39" s="24"/>
      <c r="F39" s="215" t="s">
        <v>24</v>
      </c>
      <c r="G39" s="214"/>
      <c r="H39" s="23"/>
      <c r="I39" s="23"/>
      <c r="J39" s="24"/>
      <c r="K39" s="215" t="s">
        <v>24</v>
      </c>
      <c r="L39" s="214"/>
      <c r="M39" s="23"/>
      <c r="N39" s="23"/>
      <c r="O39" s="24"/>
      <c r="P39" s="215" t="s">
        <v>24</v>
      </c>
      <c r="Q39" s="214"/>
      <c r="R39" s="23"/>
      <c r="S39" s="23"/>
      <c r="T39" s="136"/>
      <c r="U39" s="9"/>
      <c r="V39" s="9"/>
      <c r="W39" s="9"/>
      <c r="X39" s="9"/>
      <c r="Y39" s="9"/>
      <c r="Z39" s="9"/>
    </row>
    <row r="40" ht="13.5" customHeight="1">
      <c r="A40" s="137"/>
      <c r="U40" s="9"/>
      <c r="V40" s="9"/>
      <c r="W40" s="9"/>
      <c r="X40" s="9"/>
      <c r="Y40" s="9"/>
      <c r="Z40" s="9"/>
    </row>
    <row r="41" ht="13.5" customHeight="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ht="13.5" customHeight="1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ht="13.5" customHeight="1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ht="13.5" customHeight="1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ht="13.5" customHeight="1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ht="13.5" customHeight="1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ht="13.5" customHeight="1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ht="13.5" customHeight="1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ht="13.5" customHeight="1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ht="13.5" customHeight="1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ht="13.5" customHeight="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ht="13.5" customHeight="1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ht="13.5" customHeight="1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ht="13.5" customHeight="1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ht="13.5" customHeight="1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ht="13.5" customHeight="1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ht="13.5" customHeight="1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ht="13.5" customHeight="1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ht="13.5" customHeight="1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ht="13.5" customHeight="1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ht="13.5" customHeight="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ht="13.5" customHeight="1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ht="13.5" customHeight="1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ht="13.5" customHeight="1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ht="13.5" customHeight="1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ht="13.5" customHeight="1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ht="13.5" customHeight="1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ht="13.5" customHeight="1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ht="13.5" customHeight="1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ht="13.5" customHeight="1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ht="13.5" customHeight="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ht="13.5" customHeight="1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ht="13.5" customHeight="1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ht="13.5" customHeight="1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ht="13.5" customHeight="1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ht="13.5" customHeight="1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ht="13.5" customHeight="1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ht="13.5" customHeight="1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ht="13.5" customHeight="1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ht="13.5" customHeight="1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ht="13.5" customHeight="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ht="13.5" customHeight="1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ht="13.5" customHeight="1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ht="13.5" customHeight="1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ht="13.5" customHeight="1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ht="13.5" customHeight="1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ht="13.5" customHeight="1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ht="13.5" customHeight="1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ht="13.5" customHeight="1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ht="13.5" customHeight="1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ht="13.5" customHeight="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ht="13.5" customHeight="1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ht="13.5" customHeight="1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ht="13.5" customHeight="1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ht="13.5" customHeight="1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ht="13.5" customHeight="1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ht="13.5" customHeight="1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ht="13.5" customHeight="1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ht="13.5" customHeight="1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ht="13.5" customHeight="1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ht="13.5" customHeight="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ht="13.5" customHeight="1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ht="13.5" customHeight="1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ht="13.5" customHeight="1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ht="13.5" customHeight="1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ht="13.5" customHeight="1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ht="13.5" customHeight="1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ht="13.5" customHeight="1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ht="13.5" customHeight="1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ht="13.5" customHeight="1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ht="13.5" customHeight="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ht="13.5" customHeight="1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ht="13.5" customHeight="1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ht="13.5" customHeight="1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ht="13.5" customHeight="1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ht="13.5" customHeight="1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ht="13.5" customHeight="1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ht="13.5" customHeight="1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ht="13.5" customHeight="1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ht="13.5" customHeight="1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ht="13.5" customHeight="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ht="13.5" customHeight="1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ht="13.5" customHeight="1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ht="13.5" customHeight="1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ht="13.5" customHeight="1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ht="13.5" customHeight="1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ht="13.5" customHeight="1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ht="13.5" customHeight="1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ht="13.5" customHeight="1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ht="13.5" customHeight="1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ht="13.5" customHeight="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ht="13.5" customHeight="1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ht="13.5" customHeight="1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ht="13.5" customHeight="1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ht="13.5" customHeight="1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ht="13.5" customHeight="1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ht="13.5" customHeight="1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ht="13.5" customHeight="1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ht="13.5" customHeight="1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ht="13.5" customHeight="1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ht="13.5" customHeight="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ht="13.5" customHeight="1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ht="13.5" customHeight="1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ht="13.5" customHeight="1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ht="13.5" customHeight="1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ht="13.5" customHeight="1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ht="13.5" customHeight="1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ht="13.5" customHeight="1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ht="13.5" customHeight="1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ht="13.5" customHeight="1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ht="13.5" customHeight="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ht="13.5" customHeight="1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ht="13.5" customHeight="1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ht="13.5" customHeight="1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ht="13.5" customHeight="1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ht="13.5" customHeight="1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ht="13.5" customHeight="1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ht="13.5" customHeight="1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ht="13.5" customHeight="1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ht="13.5" customHeight="1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ht="13.5" customHeight="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ht="13.5" customHeight="1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ht="13.5" customHeight="1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ht="13.5" customHeight="1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ht="13.5" customHeight="1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ht="13.5" customHeight="1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ht="13.5" customHeight="1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ht="13.5" customHeight="1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ht="13.5" customHeight="1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ht="13.5" customHeight="1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ht="13.5" customHeight="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ht="13.5" customHeight="1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ht="13.5" customHeight="1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ht="13.5" customHeight="1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ht="13.5" customHeight="1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ht="13.5" customHeight="1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ht="13.5" customHeight="1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ht="13.5" customHeight="1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ht="13.5" customHeight="1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ht="13.5" customHeight="1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ht="13.5" customHeight="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ht="13.5" customHeight="1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ht="13.5" customHeight="1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ht="13.5" customHeight="1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ht="13.5" customHeight="1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ht="13.5" customHeight="1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ht="13.5" customHeight="1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ht="13.5" customHeight="1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ht="13.5" customHeight="1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ht="13.5" customHeight="1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ht="13.5" customHeight="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ht="13.5" customHeight="1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ht="13.5" customHeight="1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ht="13.5" customHeight="1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ht="13.5" customHeight="1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ht="13.5" customHeight="1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ht="13.5" customHeight="1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ht="13.5" customHeight="1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ht="13.5" customHeight="1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ht="13.5" customHeight="1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ht="13.5" customHeight="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ht="13.5" customHeight="1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ht="13.5" customHeight="1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ht="13.5" customHeight="1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ht="13.5" customHeight="1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ht="13.5" customHeight="1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ht="13.5" customHeight="1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ht="13.5" customHeight="1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ht="13.5" customHeight="1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ht="13.5" customHeight="1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ht="13.5" customHeight="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ht="13.5" customHeight="1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ht="13.5" customHeight="1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ht="13.5" customHeight="1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ht="13.5" customHeight="1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ht="13.5" customHeight="1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ht="13.5" customHeight="1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ht="13.5" customHeight="1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ht="13.5" customHeight="1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ht="13.5" customHeight="1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ht="13.5" customHeight="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ht="13.5" customHeight="1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ht="13.5" customHeight="1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ht="13.5" customHeight="1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ht="13.5" customHeight="1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ht="13.5" customHeight="1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ht="13.5" customHeight="1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ht="13.5" customHeight="1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ht="13.5" customHeight="1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ht="13.5" customHeight="1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ht="13.5" customHeight="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ht="13.5" customHeight="1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ht="13.5" customHeight="1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ht="13.5" customHeight="1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ht="13.5" customHeight="1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ht="13.5" customHeight="1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ht="13.5" customHeight="1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ht="13.5" customHeight="1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ht="13.5" customHeight="1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ht="13.5" customHeight="1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ht="13.5" customHeight="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ht="13.5" customHeight="1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ht="13.5" customHeight="1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ht="13.5" customHeight="1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ht="13.5" customHeight="1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ht="13.5" customHeight="1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ht="13.5" customHeight="1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ht="13.5" customHeight="1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ht="13.5" customHeight="1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ht="13.5" customHeight="1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ht="13.5" customHeight="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ht="13.5" customHeight="1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ht="13.5" customHeight="1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ht="13.5" customHeight="1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ht="13.5" customHeight="1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ht="13.5" customHeight="1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ht="13.5" customHeight="1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ht="13.5" customHeight="1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ht="13.5" customHeight="1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ht="13.5" customHeight="1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ht="13.5" customHeight="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ht="13.5" customHeight="1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ht="13.5" customHeight="1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ht="13.5" customHeight="1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ht="13.5" customHeight="1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ht="13.5" customHeight="1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ht="13.5" customHeight="1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ht="13.5" customHeight="1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ht="13.5" customHeight="1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ht="13.5" customHeight="1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ht="13.5" customHeight="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ht="13.5" customHeight="1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ht="13.5" customHeight="1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ht="13.5" customHeight="1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ht="13.5" customHeight="1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ht="13.5" customHeight="1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ht="13.5" customHeight="1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ht="13.5" customHeight="1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ht="13.5" customHeight="1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ht="13.5" customHeight="1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ht="13.5" customHeight="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ht="13.5" customHeight="1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ht="13.5" customHeight="1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ht="13.5" customHeight="1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ht="13.5" customHeight="1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ht="13.5" customHeight="1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ht="13.5" customHeight="1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ht="13.5" customHeight="1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ht="13.5" customHeight="1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ht="13.5" customHeight="1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ht="13.5" customHeight="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ht="13.5" customHeight="1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ht="13.5" customHeight="1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ht="13.5" customHeight="1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ht="13.5" customHeight="1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ht="13.5" customHeight="1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ht="13.5" customHeight="1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ht="13.5" customHeight="1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ht="13.5" customHeight="1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ht="13.5" customHeight="1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ht="13.5" customHeight="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ht="13.5" customHeight="1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ht="13.5" customHeight="1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ht="13.5" customHeight="1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ht="13.5" customHeight="1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ht="13.5" customHeight="1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ht="13.5" customHeight="1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ht="13.5" customHeight="1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ht="13.5" customHeight="1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ht="13.5" customHeight="1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ht="13.5" customHeight="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ht="13.5" customHeight="1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ht="13.5" customHeight="1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ht="13.5" customHeight="1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ht="13.5" customHeight="1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ht="13.5" customHeight="1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ht="13.5" customHeight="1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ht="13.5" customHeight="1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ht="13.5" customHeight="1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ht="13.5" customHeight="1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ht="13.5" customHeight="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ht="13.5" customHeight="1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ht="13.5" customHeight="1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ht="13.5" customHeight="1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ht="13.5" customHeight="1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ht="13.5" customHeight="1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ht="13.5" customHeight="1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ht="13.5" customHeight="1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ht="13.5" customHeight="1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ht="13.5" customHeight="1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ht="13.5" customHeight="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ht="13.5" customHeight="1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ht="13.5" customHeight="1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ht="13.5" customHeight="1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ht="13.5" customHeight="1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ht="13.5" customHeight="1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ht="13.5" customHeight="1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ht="13.5" customHeight="1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ht="13.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ht="13.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ht="13.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ht="13.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ht="13.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ht="13.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ht="13.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ht="13.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ht="13.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ht="13.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ht="13.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ht="13.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ht="13.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ht="13.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ht="13.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ht="13.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ht="13.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ht="13.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ht="13.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ht="13.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ht="13.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ht="13.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ht="13.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ht="13.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 ht="13.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 ht="13.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 ht="13.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 ht="13.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 ht="13.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 ht="13.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 ht="13.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 ht="13.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 ht="13.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 ht="13.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 ht="13.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 ht="13.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 ht="13.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 ht="13.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 ht="13.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 ht="13.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 ht="13.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 ht="13.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 ht="13.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 ht="13.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 ht="13.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 ht="13.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 ht="13.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 ht="13.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 ht="13.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 ht="13.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 ht="13.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 ht="13.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 ht="13.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 ht="13.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 ht="13.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 ht="13.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 ht="13.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 ht="13.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 ht="13.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 ht="13.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 ht="13.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 ht="13.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 ht="13.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 ht="13.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 ht="13.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 ht="13.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 ht="13.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 ht="13.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 ht="13.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 ht="13.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 ht="13.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 ht="13.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 ht="13.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 ht="13.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 ht="13.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 ht="13.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 ht="13.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 ht="13.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 ht="13.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 ht="13.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 ht="13.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 ht="13.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 ht="13.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 ht="13.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 ht="13.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 ht="13.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 ht="13.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 ht="13.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 ht="13.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 ht="13.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 ht="13.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 ht="13.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 ht="13.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 ht="13.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 ht="13.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 ht="13.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 ht="13.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 ht="13.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 ht="13.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 ht="13.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 ht="13.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 ht="13.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 ht="13.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 ht="13.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 ht="13.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 ht="13.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 ht="13.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 ht="13.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 ht="13.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 ht="13.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 ht="13.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 ht="13.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 ht="13.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 ht="13.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 ht="13.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 ht="13.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 ht="13.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 ht="13.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 ht="13.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 ht="13.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 ht="13.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 ht="13.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 ht="13.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 ht="13.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 ht="13.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 ht="13.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 ht="13.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 ht="13.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 ht="13.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 ht="13.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 ht="13.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 ht="13.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 ht="13.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 ht="13.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 ht="13.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 ht="13.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 ht="13.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 ht="13.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 ht="13.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 ht="13.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 ht="13.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 ht="13.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 ht="13.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 ht="13.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 ht="13.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 ht="13.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 ht="13.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 ht="13.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 ht="13.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 ht="13.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 ht="13.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 ht="13.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 ht="13.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 ht="13.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 ht="13.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 ht="13.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 ht="13.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 ht="13.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 ht="13.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 ht="13.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 ht="13.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 ht="13.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 ht="13.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 ht="13.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 ht="13.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 ht="13.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 ht="13.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 ht="13.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 ht="13.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 ht="13.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 ht="13.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 ht="13.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 ht="13.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 ht="13.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 ht="13.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 ht="13.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 ht="13.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 ht="13.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 ht="13.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 ht="13.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 ht="13.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 ht="13.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 ht="13.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 ht="13.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 ht="13.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 ht="13.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 ht="13.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 ht="13.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 ht="13.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 ht="13.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 ht="13.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 ht="13.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 ht="13.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 ht="13.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 ht="13.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 ht="13.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 ht="13.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 ht="13.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 ht="13.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 ht="13.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 ht="13.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 ht="13.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 ht="13.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 ht="13.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 ht="13.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 ht="13.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 ht="13.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 ht="13.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 ht="13.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 ht="13.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 ht="13.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 ht="13.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 ht="13.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 ht="13.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 ht="13.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 ht="13.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 ht="13.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 ht="13.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 ht="13.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 ht="13.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 ht="13.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 ht="13.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 ht="13.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 ht="13.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 ht="13.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 ht="13.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 ht="13.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 ht="13.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 ht="13.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 ht="13.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 ht="13.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 ht="13.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 ht="13.5" customHeight="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 ht="13.5" customHeight="1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 ht="13.5" customHeight="1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 ht="13.5" customHeight="1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 ht="13.5" customHeight="1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 ht="13.5" customHeight="1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 ht="13.5" customHeight="1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 ht="13.5" customHeight="1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 ht="13.5" customHeight="1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 ht="13.5" customHeight="1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 ht="13.5" customHeight="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 ht="13.5" customHeight="1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 ht="13.5" customHeight="1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 ht="13.5" customHeight="1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 ht="13.5" customHeight="1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 ht="13.5" customHeight="1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 ht="13.5" customHeight="1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 ht="13.5" customHeight="1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 ht="13.5" customHeight="1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 ht="13.5" customHeight="1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 ht="13.5" customHeight="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 ht="13.5" customHeight="1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 ht="13.5" customHeight="1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 ht="13.5" customHeight="1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 ht="13.5" customHeight="1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 ht="13.5" customHeight="1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 ht="13.5" customHeight="1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 ht="13.5" customHeight="1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 ht="13.5" customHeight="1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 ht="13.5" customHeight="1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 ht="13.5" customHeight="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 ht="13.5" customHeight="1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 ht="13.5" customHeight="1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 ht="13.5" customHeight="1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 ht="13.5" customHeight="1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 ht="13.5" customHeight="1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 ht="13.5" customHeight="1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 ht="13.5" customHeight="1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 ht="13.5" customHeight="1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 ht="13.5" customHeight="1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 ht="13.5" customHeight="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 ht="13.5" customHeight="1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 ht="13.5" customHeight="1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 ht="13.5" customHeight="1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 ht="13.5" customHeight="1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 ht="13.5" customHeight="1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 ht="13.5" customHeight="1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 ht="13.5" customHeight="1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 ht="13.5" customHeight="1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 ht="13.5" customHeight="1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 ht="13.5" customHeight="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 ht="13.5" customHeight="1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 ht="13.5" customHeight="1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 ht="13.5" customHeight="1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 ht="13.5" customHeight="1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 ht="13.5" customHeight="1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 ht="13.5" customHeight="1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 ht="13.5" customHeight="1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 ht="13.5" customHeight="1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 ht="13.5" customHeight="1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 ht="13.5" customHeight="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 ht="13.5" customHeight="1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 ht="13.5" customHeight="1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 ht="13.5" customHeight="1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 ht="13.5" customHeight="1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 ht="13.5" customHeight="1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 ht="13.5" customHeight="1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 ht="13.5" customHeight="1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 ht="13.5" customHeight="1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 ht="13.5" customHeight="1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 ht="13.5" customHeight="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 ht="13.5" customHeight="1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 ht="13.5" customHeight="1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 ht="13.5" customHeight="1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 ht="13.5" customHeight="1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 ht="13.5" customHeight="1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 ht="13.5" customHeight="1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 ht="13.5" customHeight="1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 ht="13.5" customHeight="1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 ht="13.5" customHeight="1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 ht="13.5" customHeight="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 ht="13.5" customHeight="1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 ht="13.5" customHeight="1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 ht="13.5" customHeight="1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 ht="13.5" customHeight="1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 ht="13.5" customHeight="1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 ht="13.5" customHeight="1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 ht="13.5" customHeight="1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 ht="13.5" customHeight="1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 ht="13.5" customHeight="1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 ht="13.5" customHeight="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 ht="13.5" customHeight="1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 ht="13.5" customHeight="1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 ht="13.5" customHeight="1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 ht="13.5" customHeight="1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 ht="13.5" customHeight="1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 ht="13.5" customHeight="1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 ht="13.5" customHeight="1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 ht="13.5" customHeight="1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 ht="13.5" customHeight="1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 ht="13.5" customHeight="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 ht="13.5" customHeight="1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 ht="13.5" customHeight="1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 ht="13.5" customHeight="1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 ht="13.5" customHeight="1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 ht="13.5" customHeight="1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 ht="13.5" customHeight="1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 ht="13.5" customHeight="1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 ht="13.5" customHeight="1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 ht="13.5" customHeight="1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 ht="13.5" customHeight="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 ht="13.5" customHeight="1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 ht="13.5" customHeight="1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 ht="13.5" customHeight="1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 ht="13.5" customHeight="1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 ht="13.5" customHeight="1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 ht="13.5" customHeight="1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 ht="13.5" customHeight="1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 ht="13.5" customHeight="1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 ht="13.5" customHeight="1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 ht="13.5" customHeight="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 ht="13.5" customHeight="1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 ht="13.5" customHeight="1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 ht="13.5" customHeight="1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 ht="13.5" customHeight="1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 ht="13.5" customHeight="1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 ht="13.5" customHeight="1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 ht="13.5" customHeight="1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 ht="13.5" customHeight="1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 ht="13.5" customHeight="1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 ht="13.5" customHeight="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 ht="13.5" customHeight="1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 ht="13.5" customHeight="1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 ht="13.5" customHeight="1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 ht="13.5" customHeight="1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 ht="13.5" customHeight="1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 ht="13.5" customHeight="1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 ht="13.5" customHeight="1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 ht="13.5" customHeight="1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 ht="13.5" customHeight="1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 ht="13.5" customHeight="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 ht="13.5" customHeight="1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 ht="13.5" customHeight="1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 ht="13.5" customHeight="1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 ht="13.5" customHeight="1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 ht="13.5" customHeight="1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 ht="13.5" customHeight="1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 ht="13.5" customHeight="1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 ht="13.5" customHeight="1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 ht="13.5" customHeight="1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 ht="13.5" customHeight="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 ht="13.5" customHeight="1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 ht="13.5" customHeight="1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 ht="13.5" customHeight="1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 ht="13.5" customHeight="1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 ht="13.5" customHeight="1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 ht="13.5" customHeight="1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 ht="13.5" customHeight="1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 ht="13.5" customHeight="1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 ht="13.5" customHeight="1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 ht="13.5" customHeight="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 ht="13.5" customHeight="1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 ht="13.5" customHeight="1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 ht="13.5" customHeight="1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 ht="13.5" customHeight="1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 ht="13.5" customHeight="1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 ht="13.5" customHeight="1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 ht="13.5" customHeight="1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 ht="13.5" customHeight="1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 ht="13.5" customHeight="1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 ht="13.5" customHeight="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 ht="13.5" customHeight="1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 ht="13.5" customHeight="1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 ht="13.5" customHeight="1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 ht="13.5" customHeight="1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 ht="13.5" customHeight="1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 ht="13.5" customHeight="1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 ht="13.5" customHeight="1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 ht="13.5" customHeight="1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 ht="13.5" customHeight="1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 ht="13.5" customHeight="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 ht="13.5" customHeight="1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 ht="13.5" customHeight="1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 ht="13.5" customHeight="1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 ht="13.5" customHeight="1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 ht="13.5" customHeight="1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 ht="13.5" customHeight="1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 ht="13.5" customHeight="1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 ht="13.5" customHeight="1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 ht="13.5" customHeight="1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 ht="13.5" customHeight="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 ht="13.5" customHeight="1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 ht="13.5" customHeight="1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 ht="13.5" customHeight="1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 ht="13.5" customHeight="1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 ht="13.5" customHeight="1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 ht="13.5" customHeight="1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 ht="13.5" customHeight="1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 ht="13.5" customHeight="1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 ht="13.5" customHeight="1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 ht="13.5" customHeight="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 ht="13.5" customHeight="1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 ht="13.5" customHeight="1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 ht="13.5" customHeight="1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 ht="13.5" customHeight="1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 ht="13.5" customHeight="1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 ht="13.5" customHeight="1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 ht="13.5" customHeight="1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 ht="13.5" customHeight="1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 ht="13.5" customHeight="1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 ht="13.5" customHeight="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 ht="13.5" customHeight="1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 ht="13.5" customHeight="1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 ht="13.5" customHeight="1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 ht="13.5" customHeight="1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 ht="13.5" customHeight="1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 ht="13.5" customHeight="1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 ht="13.5" customHeight="1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 ht="13.5" customHeight="1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 ht="13.5" customHeight="1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 ht="13.5" customHeight="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 ht="13.5" customHeight="1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 ht="13.5" customHeight="1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 ht="13.5" customHeight="1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 ht="13.5" customHeight="1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 ht="13.5" customHeight="1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 ht="13.5" customHeight="1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 ht="13.5" customHeight="1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 ht="13.5" customHeight="1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 ht="13.5" customHeight="1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 ht="13.5" customHeight="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 ht="13.5" customHeight="1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 ht="13.5" customHeight="1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 ht="13.5" customHeight="1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 ht="13.5" customHeight="1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 ht="13.5" customHeight="1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 ht="13.5" customHeight="1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 ht="13.5" customHeight="1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 ht="13.5" customHeight="1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 ht="13.5" customHeight="1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 ht="13.5" customHeight="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 ht="13.5" customHeight="1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 ht="13.5" customHeight="1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 ht="13.5" customHeight="1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 ht="13.5" customHeight="1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 ht="13.5" customHeight="1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 ht="13.5" customHeight="1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 ht="13.5" customHeight="1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 ht="13.5" customHeight="1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 ht="13.5" customHeight="1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 ht="13.5" customHeight="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 ht="13.5" customHeight="1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 ht="13.5" customHeight="1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 ht="13.5" customHeight="1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 ht="13.5" customHeight="1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 ht="13.5" customHeight="1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 ht="13.5" customHeight="1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 ht="13.5" customHeight="1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 ht="13.5" customHeight="1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 ht="13.5" customHeight="1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 ht="13.5" customHeight="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 ht="13.5" customHeight="1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 ht="13.5" customHeight="1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 ht="13.5" customHeight="1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 ht="13.5" customHeight="1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 ht="13.5" customHeight="1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 ht="13.5" customHeight="1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 ht="13.5" customHeight="1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 ht="13.5" customHeight="1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 ht="13.5" customHeight="1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 ht="13.5" customHeight="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 ht="13.5" customHeight="1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 ht="13.5" customHeight="1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 ht="13.5" customHeight="1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 ht="13.5" customHeight="1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 ht="13.5" customHeight="1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 ht="13.5" customHeight="1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 ht="13.5" customHeight="1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 ht="13.5" customHeight="1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 ht="13.5" customHeight="1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 ht="13.5" customHeight="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 ht="13.5" customHeight="1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 ht="13.5" customHeight="1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 ht="13.5" customHeight="1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 ht="13.5" customHeight="1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 ht="13.5" customHeight="1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 ht="13.5" customHeight="1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 ht="13.5" customHeight="1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 ht="13.5" customHeight="1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 ht="13.5" customHeight="1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 ht="13.5" customHeight="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 ht="13.5" customHeight="1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 ht="13.5" customHeight="1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 ht="13.5" customHeight="1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 ht="13.5" customHeight="1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 ht="13.5" customHeight="1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 ht="13.5" customHeight="1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 ht="13.5" customHeight="1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 ht="13.5" customHeight="1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 ht="13.5" customHeight="1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 ht="13.5" customHeight="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 ht="13.5" customHeight="1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 ht="13.5" customHeight="1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 ht="13.5" customHeight="1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 ht="13.5" customHeight="1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 ht="13.5" customHeight="1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 ht="13.5" customHeight="1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 ht="13.5" customHeight="1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 ht="13.5" customHeight="1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 ht="13.5" customHeight="1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 ht="13.5" customHeight="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 ht="13.5" customHeight="1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 ht="13.5" customHeight="1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 ht="13.5" customHeight="1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 ht="13.5" customHeight="1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 ht="13.5" customHeight="1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 ht="13.5" customHeight="1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 ht="13.5" customHeight="1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 ht="13.5" customHeight="1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 ht="13.5" customHeight="1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 ht="13.5" customHeight="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 ht="13.5" customHeight="1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 ht="13.5" customHeight="1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 ht="13.5" customHeight="1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 ht="13.5" customHeight="1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 ht="13.5" customHeight="1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 ht="13.5" customHeight="1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 ht="13.5" customHeight="1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 ht="13.5" customHeight="1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 ht="13.5" customHeight="1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 ht="13.5" customHeight="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 ht="13.5" customHeight="1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 ht="13.5" customHeight="1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 ht="13.5" customHeight="1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 ht="13.5" customHeight="1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 ht="13.5" customHeight="1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 ht="13.5" customHeight="1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 ht="13.5" customHeight="1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 ht="13.5" customHeight="1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 ht="13.5" customHeight="1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 ht="13.5" customHeight="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 ht="13.5" customHeight="1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 ht="13.5" customHeight="1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 ht="13.5" customHeight="1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 ht="13.5" customHeight="1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 ht="13.5" customHeight="1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 ht="13.5" customHeight="1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 ht="13.5" customHeight="1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 ht="13.5" customHeight="1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 ht="13.5" customHeight="1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 ht="13.5" customHeight="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 ht="13.5" customHeight="1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 ht="13.5" customHeight="1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 ht="13.5" customHeight="1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 ht="13.5" customHeight="1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 ht="13.5" customHeight="1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 ht="13.5" customHeight="1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 ht="13.5" customHeight="1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 ht="13.5" customHeight="1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 ht="13.5" customHeight="1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 ht="13.5" customHeight="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 ht="13.5" customHeight="1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 ht="13.5" customHeight="1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 ht="13.5" customHeight="1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 ht="13.5" customHeight="1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 ht="13.5" customHeight="1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 ht="13.5" customHeight="1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 ht="13.5" customHeight="1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 ht="13.5" customHeight="1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 ht="13.5" customHeight="1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 ht="13.5" customHeight="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 ht="13.5" customHeight="1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 ht="13.5" customHeight="1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 ht="13.5" customHeight="1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 ht="13.5" customHeight="1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 ht="13.5" customHeight="1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 ht="13.5" customHeight="1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 ht="13.5" customHeight="1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 ht="13.5" customHeight="1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 ht="13.5" customHeight="1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 ht="13.5" customHeight="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 ht="13.5" customHeight="1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 ht="13.5" customHeight="1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 ht="13.5" customHeight="1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 ht="13.5" customHeight="1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 ht="13.5" customHeight="1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 ht="13.5" customHeight="1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 ht="13.5" customHeight="1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 ht="13.5" customHeight="1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 ht="13.5" customHeight="1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 ht="13.5" customHeight="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 ht="13.5" customHeight="1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 ht="13.5" customHeight="1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 ht="13.5" customHeight="1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 ht="13.5" customHeight="1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 ht="13.5" customHeight="1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 ht="13.5" customHeight="1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 ht="13.5" customHeight="1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 ht="13.5" customHeight="1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 ht="13.5" customHeight="1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 ht="13.5" customHeight="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 ht="13.5" customHeight="1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 ht="13.5" customHeight="1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 ht="13.5" customHeight="1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 ht="13.5" customHeight="1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 ht="13.5" customHeight="1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 ht="13.5" customHeight="1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 ht="13.5" customHeight="1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 ht="13.5" customHeight="1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 ht="13.5" customHeight="1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 ht="13.5" customHeight="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 ht="13.5" customHeight="1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 ht="13.5" customHeight="1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 ht="13.5" customHeight="1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 ht="13.5" customHeight="1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 ht="13.5" customHeight="1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 ht="13.5" customHeight="1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 ht="13.5" customHeight="1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 ht="13.5" customHeight="1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 ht="13.5" customHeight="1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 ht="13.5" customHeight="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 ht="13.5" customHeight="1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 ht="13.5" customHeight="1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 ht="13.5" customHeight="1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 ht="13.5" customHeight="1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 ht="13.5" customHeight="1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 ht="13.5" customHeight="1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 ht="13.5" customHeight="1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 ht="13.5" customHeight="1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 ht="13.5" customHeight="1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mergeCells count="41">
    <mergeCell ref="A1:T1"/>
    <mergeCell ref="C2:D2"/>
    <mergeCell ref="G2:K2"/>
    <mergeCell ref="M2:S2"/>
    <mergeCell ref="G3:H3"/>
    <mergeCell ref="J3:N3"/>
    <mergeCell ref="P3:Q3"/>
    <mergeCell ref="L12:O12"/>
    <mergeCell ref="Q12:T12"/>
    <mergeCell ref="C3:D3"/>
    <mergeCell ref="A4:E11"/>
    <mergeCell ref="F4:J11"/>
    <mergeCell ref="K4:O11"/>
    <mergeCell ref="P4:T11"/>
    <mergeCell ref="B12:E12"/>
    <mergeCell ref="G12:J12"/>
    <mergeCell ref="A13:E20"/>
    <mergeCell ref="F13:J20"/>
    <mergeCell ref="K13:O20"/>
    <mergeCell ref="P13:T20"/>
    <mergeCell ref="G21:J21"/>
    <mergeCell ref="L21:O21"/>
    <mergeCell ref="Q21:T21"/>
    <mergeCell ref="L30:O30"/>
    <mergeCell ref="Q30:T30"/>
    <mergeCell ref="B21:E21"/>
    <mergeCell ref="A22:E29"/>
    <mergeCell ref="F22:J29"/>
    <mergeCell ref="K22:O29"/>
    <mergeCell ref="P22:T29"/>
    <mergeCell ref="B30:E30"/>
    <mergeCell ref="G30:J30"/>
    <mergeCell ref="Q39:T39"/>
    <mergeCell ref="A40:T40"/>
    <mergeCell ref="A31:E38"/>
    <mergeCell ref="F31:J38"/>
    <mergeCell ref="K31:O38"/>
    <mergeCell ref="P31:T38"/>
    <mergeCell ref="B39:E39"/>
    <mergeCell ref="G39:J39"/>
    <mergeCell ref="L39:O39"/>
  </mergeCells>
  <printOptions/>
  <pageMargins bottom="0.0" footer="0.0" header="0.0" left="0.0" right="0.0" top="0.25"/>
  <pageSetup paperSize="9" orientation="landscape"/>
  <rowBreaks count="1" manualBreakCount="1">
    <brk id="30" man="1"/>
  </rowBreak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CC00"/>
    <pageSetUpPr/>
  </sheetPr>
  <sheetViews>
    <sheetView workbookViewId="0"/>
  </sheetViews>
  <sheetFormatPr customHeight="1" defaultColWidth="12.63" defaultRowHeight="15.0"/>
  <cols>
    <col customWidth="1" min="1" max="2" width="14.75"/>
    <col customWidth="1" min="3" max="5" width="13.5"/>
    <col customWidth="1" min="6" max="11" width="14.88"/>
    <col customWidth="1" min="12" max="12" width="11.75"/>
    <col customWidth="1" min="13" max="15" width="14.88"/>
    <col customWidth="1" min="16" max="16" width="4.13"/>
    <col customWidth="1" min="17" max="17" width="22.88"/>
    <col customWidth="1" min="18" max="18" width="18.25"/>
    <col customWidth="1" min="19" max="19" width="20.88"/>
    <col customWidth="1" min="20" max="20" width="10.5"/>
    <col customWidth="1" min="21" max="26" width="10.25"/>
  </cols>
  <sheetData>
    <row r="1" ht="55.5" customHeight="1">
      <c r="A1" s="261" t="s">
        <v>194</v>
      </c>
      <c r="U1" s="9"/>
      <c r="V1" s="9"/>
      <c r="W1" s="9"/>
      <c r="X1" s="9"/>
      <c r="Y1" s="9"/>
      <c r="Z1" s="9"/>
    </row>
    <row r="2" ht="42.75" customHeight="1">
      <c r="A2" s="11" t="s">
        <v>3</v>
      </c>
      <c r="B2" s="12"/>
      <c r="C2" s="17" t="str">
        <f>'Picture Major Defects '!C2</f>
        <v/>
      </c>
      <c r="D2" s="15"/>
      <c r="E2" s="19" t="s">
        <v>5</v>
      </c>
      <c r="F2" s="12"/>
      <c r="G2" s="17" t="str">
        <f>'Picture Major Defects '!G2</f>
        <v/>
      </c>
      <c r="H2" s="14"/>
      <c r="I2" s="14"/>
      <c r="J2" s="14"/>
      <c r="K2" s="15"/>
      <c r="L2" s="20" t="s">
        <v>6</v>
      </c>
      <c r="M2" s="17" t="str">
        <f>'Picture Major Defects '!M2</f>
        <v/>
      </c>
      <c r="N2" s="14"/>
      <c r="O2" s="14"/>
      <c r="P2" s="14"/>
      <c r="Q2" s="14"/>
      <c r="R2" s="14"/>
      <c r="S2" s="21"/>
      <c r="T2" s="10"/>
      <c r="U2" s="10"/>
      <c r="V2" s="10"/>
      <c r="W2" s="10"/>
      <c r="X2" s="10"/>
      <c r="Y2" s="10"/>
      <c r="Z2" s="10"/>
    </row>
    <row r="3" ht="42.75" customHeight="1">
      <c r="A3" s="25" t="s">
        <v>7</v>
      </c>
      <c r="B3" s="26"/>
      <c r="C3" s="28">
        <f>'Picture Major Defects '!C3</f>
        <v>20000</v>
      </c>
      <c r="D3" s="24"/>
      <c r="E3" s="31" t="s">
        <v>9</v>
      </c>
      <c r="F3" s="33"/>
      <c r="G3" s="28">
        <f>'Picture Major Defects '!G3</f>
        <v>315</v>
      </c>
      <c r="H3" s="24"/>
      <c r="I3" s="31" t="s">
        <v>10</v>
      </c>
      <c r="J3" s="38" t="str">
        <f>'Main Report (2)'!J5</f>
        <v/>
      </c>
      <c r="K3" s="23"/>
      <c r="L3" s="23"/>
      <c r="M3" s="23"/>
      <c r="N3" s="24"/>
      <c r="O3" s="31" t="s">
        <v>12</v>
      </c>
      <c r="P3" s="26"/>
      <c r="Q3" s="43" t="str">
        <f>'Picture Major Defects '!Q3</f>
        <v/>
      </c>
      <c r="R3" s="45" t="s">
        <v>14</v>
      </c>
      <c r="S3" s="47" t="str">
        <f>'Picture Major Defects '!S3</f>
        <v/>
      </c>
      <c r="T3" s="10"/>
      <c r="U3" s="10"/>
      <c r="V3" s="10"/>
      <c r="W3" s="10"/>
      <c r="X3" s="10"/>
      <c r="Y3" s="10"/>
      <c r="Z3" s="10"/>
    </row>
    <row r="4" ht="45.75" customHeight="1">
      <c r="A4" s="262"/>
      <c r="B4" s="53"/>
      <c r="C4" s="53"/>
      <c r="D4" s="53"/>
      <c r="E4" s="55"/>
      <c r="F4" s="263"/>
      <c r="G4" s="53"/>
      <c r="H4" s="53"/>
      <c r="I4" s="53"/>
      <c r="J4" s="55"/>
      <c r="K4" s="263"/>
      <c r="L4" s="53"/>
      <c r="M4" s="53"/>
      <c r="N4" s="53"/>
      <c r="O4" s="55"/>
      <c r="P4" s="263"/>
      <c r="Q4" s="53"/>
      <c r="R4" s="53"/>
      <c r="S4" s="53"/>
      <c r="T4" s="60"/>
      <c r="U4" s="9"/>
      <c r="V4" s="9"/>
      <c r="W4" s="9"/>
      <c r="X4" s="9"/>
      <c r="Y4" s="9"/>
      <c r="Z4" s="9"/>
    </row>
    <row r="5" ht="45.75" customHeight="1">
      <c r="A5" s="54"/>
      <c r="E5" s="62"/>
      <c r="F5" s="63"/>
      <c r="J5" s="62"/>
      <c r="K5" s="63"/>
      <c r="O5" s="62"/>
      <c r="P5" s="63"/>
      <c r="T5" s="48"/>
      <c r="U5" s="9"/>
      <c r="V5" s="9"/>
      <c r="W5" s="9"/>
      <c r="X5" s="9"/>
      <c r="Y5" s="9"/>
      <c r="Z5" s="9"/>
    </row>
    <row r="6" ht="45.75" customHeight="1">
      <c r="A6" s="54"/>
      <c r="E6" s="62"/>
      <c r="F6" s="63"/>
      <c r="J6" s="62"/>
      <c r="K6" s="63"/>
      <c r="O6" s="62"/>
      <c r="P6" s="63"/>
      <c r="T6" s="48"/>
      <c r="U6" s="9"/>
      <c r="V6" s="9"/>
      <c r="W6" s="9"/>
      <c r="X6" s="9"/>
      <c r="Y6" s="9"/>
      <c r="Z6" s="9"/>
    </row>
    <row r="7" ht="45.75" customHeight="1">
      <c r="A7" s="54"/>
      <c r="E7" s="62"/>
      <c r="F7" s="63"/>
      <c r="J7" s="62"/>
      <c r="K7" s="63"/>
      <c r="O7" s="62"/>
      <c r="P7" s="63"/>
      <c r="T7" s="48"/>
      <c r="U7" s="9"/>
      <c r="V7" s="9"/>
      <c r="W7" s="9"/>
      <c r="X7" s="9"/>
      <c r="Y7" s="9"/>
      <c r="Z7" s="9"/>
    </row>
    <row r="8" ht="45.75" customHeight="1">
      <c r="A8" s="54"/>
      <c r="E8" s="62"/>
      <c r="F8" s="63"/>
      <c r="J8" s="62"/>
      <c r="K8" s="63"/>
      <c r="O8" s="62"/>
      <c r="P8" s="63"/>
      <c r="T8" s="48"/>
      <c r="U8" s="9"/>
      <c r="V8" s="9"/>
      <c r="W8" s="9"/>
      <c r="X8" s="9"/>
      <c r="Y8" s="9"/>
      <c r="Z8" s="9"/>
    </row>
    <row r="9" ht="45.75" customHeight="1">
      <c r="A9" s="54"/>
      <c r="E9" s="62"/>
      <c r="F9" s="63"/>
      <c r="J9" s="62"/>
      <c r="K9" s="63"/>
      <c r="O9" s="62"/>
      <c r="P9" s="63"/>
      <c r="T9" s="48"/>
      <c r="U9" s="9"/>
      <c r="V9" s="9"/>
      <c r="W9" s="9"/>
      <c r="X9" s="9"/>
      <c r="Y9" s="9"/>
      <c r="Z9" s="9"/>
    </row>
    <row r="10" ht="45.75" customHeight="1">
      <c r="A10" s="54"/>
      <c r="E10" s="62"/>
      <c r="F10" s="63"/>
      <c r="J10" s="62"/>
      <c r="K10" s="63"/>
      <c r="O10" s="62"/>
      <c r="P10" s="63"/>
      <c r="T10" s="48"/>
      <c r="U10" s="9"/>
      <c r="V10" s="9"/>
      <c r="W10" s="9"/>
      <c r="X10" s="9"/>
      <c r="Y10" s="9"/>
      <c r="Z10" s="9"/>
    </row>
    <row r="11" ht="45.75" customHeight="1">
      <c r="A11" s="73"/>
      <c r="B11" s="6"/>
      <c r="C11" s="6"/>
      <c r="D11" s="6"/>
      <c r="E11" s="75"/>
      <c r="F11" s="76"/>
      <c r="G11" s="6"/>
      <c r="H11" s="6"/>
      <c r="I11" s="6"/>
      <c r="J11" s="75"/>
      <c r="K11" s="76"/>
      <c r="L11" s="6"/>
      <c r="M11" s="6"/>
      <c r="N11" s="6"/>
      <c r="O11" s="75"/>
      <c r="P11" s="76"/>
      <c r="Q11" s="6"/>
      <c r="R11" s="6"/>
      <c r="S11" s="6"/>
      <c r="T11" s="78"/>
      <c r="U11" s="9"/>
      <c r="V11" s="9"/>
      <c r="W11" s="9"/>
      <c r="X11" s="9"/>
      <c r="Y11" s="9"/>
      <c r="Z11" s="9"/>
    </row>
    <row r="12" ht="45.75" customHeight="1">
      <c r="A12" s="264"/>
      <c r="B12" s="90"/>
      <c r="C12" s="90"/>
      <c r="D12" s="90"/>
      <c r="E12" s="91"/>
      <c r="F12" s="265"/>
      <c r="G12" s="90"/>
      <c r="H12" s="90"/>
      <c r="I12" s="90"/>
      <c r="J12" s="91"/>
      <c r="K12" s="265"/>
      <c r="L12" s="90"/>
      <c r="M12" s="90"/>
      <c r="N12" s="90"/>
      <c r="O12" s="91"/>
      <c r="P12" s="265"/>
      <c r="Q12" s="90"/>
      <c r="R12" s="90"/>
      <c r="S12" s="90"/>
      <c r="T12" s="95"/>
      <c r="U12" s="9"/>
      <c r="V12" s="9"/>
      <c r="W12" s="9"/>
      <c r="X12" s="9"/>
      <c r="Y12" s="9"/>
      <c r="Z12" s="9"/>
    </row>
    <row r="13" ht="45.75" customHeight="1">
      <c r="A13" s="54"/>
      <c r="E13" s="62"/>
      <c r="F13" s="63"/>
      <c r="J13" s="62"/>
      <c r="K13" s="63"/>
      <c r="O13" s="62"/>
      <c r="P13" s="63"/>
      <c r="T13" s="48"/>
      <c r="U13" s="9"/>
      <c r="V13" s="9"/>
      <c r="W13" s="9"/>
      <c r="X13" s="9"/>
      <c r="Y13" s="9"/>
      <c r="Z13" s="9"/>
    </row>
    <row r="14" ht="45.75" customHeight="1">
      <c r="A14" s="54"/>
      <c r="E14" s="62"/>
      <c r="F14" s="63"/>
      <c r="J14" s="62"/>
      <c r="K14" s="63"/>
      <c r="O14" s="62"/>
      <c r="P14" s="63"/>
      <c r="T14" s="48"/>
      <c r="U14" s="9"/>
      <c r="V14" s="9"/>
      <c r="W14" s="9"/>
      <c r="X14" s="9"/>
      <c r="Y14" s="9"/>
      <c r="Z14" s="9"/>
    </row>
    <row r="15" ht="45.75" customHeight="1">
      <c r="A15" s="54"/>
      <c r="E15" s="62"/>
      <c r="F15" s="63"/>
      <c r="J15" s="62"/>
      <c r="K15" s="63"/>
      <c r="O15" s="62"/>
      <c r="P15" s="63"/>
      <c r="T15" s="48"/>
      <c r="U15" s="9"/>
      <c r="V15" s="9"/>
      <c r="W15" s="9"/>
      <c r="X15" s="9"/>
      <c r="Y15" s="9"/>
      <c r="Z15" s="9"/>
    </row>
    <row r="16" ht="45.75" customHeight="1">
      <c r="A16" s="54"/>
      <c r="E16" s="62"/>
      <c r="F16" s="63"/>
      <c r="J16" s="62"/>
      <c r="K16" s="63"/>
      <c r="O16" s="62"/>
      <c r="P16" s="63"/>
      <c r="T16" s="48"/>
      <c r="U16" s="9"/>
      <c r="V16" s="9"/>
      <c r="W16" s="9"/>
      <c r="X16" s="9"/>
      <c r="Y16" s="9"/>
      <c r="Z16" s="9"/>
    </row>
    <row r="17" ht="45.75" customHeight="1">
      <c r="A17" s="54"/>
      <c r="E17" s="62"/>
      <c r="F17" s="63"/>
      <c r="J17" s="62"/>
      <c r="K17" s="63"/>
      <c r="O17" s="62"/>
      <c r="P17" s="63"/>
      <c r="T17" s="48"/>
      <c r="U17" s="9"/>
      <c r="V17" s="9"/>
      <c r="W17" s="9"/>
      <c r="X17" s="9"/>
      <c r="Y17" s="9"/>
      <c r="Z17" s="9"/>
    </row>
    <row r="18" ht="45.75" customHeight="1">
      <c r="A18" s="54"/>
      <c r="E18" s="62"/>
      <c r="F18" s="63"/>
      <c r="J18" s="62"/>
      <c r="K18" s="63"/>
      <c r="O18" s="62"/>
      <c r="P18" s="63"/>
      <c r="T18" s="48"/>
      <c r="U18" s="9"/>
      <c r="V18" s="9"/>
      <c r="W18" s="9"/>
      <c r="X18" s="9"/>
      <c r="Y18" s="9"/>
      <c r="Z18" s="9"/>
    </row>
    <row r="19" ht="45.75" customHeight="1">
      <c r="A19" s="73"/>
      <c r="B19" s="6"/>
      <c r="C19" s="6"/>
      <c r="D19" s="6"/>
      <c r="E19" s="75"/>
      <c r="F19" s="76"/>
      <c r="G19" s="6"/>
      <c r="H19" s="6"/>
      <c r="I19" s="6"/>
      <c r="J19" s="75"/>
      <c r="K19" s="76"/>
      <c r="L19" s="6"/>
      <c r="M19" s="6"/>
      <c r="N19" s="6"/>
      <c r="O19" s="75"/>
      <c r="P19" s="76"/>
      <c r="Q19" s="6"/>
      <c r="R19" s="6"/>
      <c r="S19" s="6"/>
      <c r="T19" s="78"/>
      <c r="U19" s="9"/>
      <c r="V19" s="9"/>
      <c r="W19" s="9"/>
      <c r="X19" s="9"/>
      <c r="Y19" s="9"/>
      <c r="Z19" s="9"/>
    </row>
    <row r="20" ht="45.75" customHeight="1">
      <c r="A20" s="264"/>
      <c r="B20" s="90"/>
      <c r="C20" s="90"/>
      <c r="D20" s="90"/>
      <c r="E20" s="91"/>
      <c r="F20" s="265"/>
      <c r="G20" s="90"/>
      <c r="H20" s="90"/>
      <c r="I20" s="90"/>
      <c r="J20" s="91"/>
      <c r="K20" s="265"/>
      <c r="L20" s="90"/>
      <c r="M20" s="90"/>
      <c r="N20" s="90"/>
      <c r="O20" s="91"/>
      <c r="P20" s="265"/>
      <c r="Q20" s="90"/>
      <c r="R20" s="90"/>
      <c r="S20" s="90"/>
      <c r="T20" s="95"/>
      <c r="U20" s="9"/>
      <c r="V20" s="9"/>
      <c r="W20" s="9"/>
      <c r="X20" s="9"/>
      <c r="Y20" s="9"/>
      <c r="Z20" s="9"/>
    </row>
    <row r="21" ht="45.75" customHeight="1">
      <c r="A21" s="54"/>
      <c r="E21" s="62"/>
      <c r="F21" s="63"/>
      <c r="J21" s="62"/>
      <c r="K21" s="63"/>
      <c r="O21" s="62"/>
      <c r="P21" s="63"/>
      <c r="T21" s="48"/>
      <c r="U21" s="9"/>
      <c r="V21" s="9"/>
      <c r="W21" s="9"/>
      <c r="X21" s="9"/>
      <c r="Y21" s="9"/>
      <c r="Z21" s="9"/>
    </row>
    <row r="22" ht="45.75" customHeight="1">
      <c r="A22" s="54"/>
      <c r="E22" s="62"/>
      <c r="F22" s="63"/>
      <c r="J22" s="62"/>
      <c r="K22" s="63"/>
      <c r="O22" s="62"/>
      <c r="P22" s="63"/>
      <c r="T22" s="48"/>
      <c r="U22" s="9"/>
      <c r="V22" s="9"/>
      <c r="W22" s="9"/>
      <c r="X22" s="9"/>
      <c r="Y22" s="9"/>
      <c r="Z22" s="9"/>
    </row>
    <row r="23" ht="45.75" customHeight="1">
      <c r="A23" s="54"/>
      <c r="E23" s="62"/>
      <c r="F23" s="63"/>
      <c r="J23" s="62"/>
      <c r="K23" s="63"/>
      <c r="O23" s="62"/>
      <c r="P23" s="63"/>
      <c r="T23" s="48"/>
      <c r="U23" s="9"/>
      <c r="V23" s="9"/>
      <c r="W23" s="9"/>
      <c r="X23" s="9"/>
      <c r="Y23" s="9"/>
      <c r="Z23" s="9"/>
    </row>
    <row r="24" ht="45.75" customHeight="1">
      <c r="A24" s="54"/>
      <c r="E24" s="62"/>
      <c r="F24" s="63"/>
      <c r="J24" s="62"/>
      <c r="K24" s="63"/>
      <c r="O24" s="62"/>
      <c r="P24" s="63"/>
      <c r="T24" s="48"/>
      <c r="U24" s="9"/>
      <c r="V24" s="9"/>
      <c r="W24" s="9"/>
      <c r="X24" s="9"/>
      <c r="Y24" s="9"/>
      <c r="Z24" s="9"/>
    </row>
    <row r="25" ht="45.75" customHeight="1">
      <c r="A25" s="54"/>
      <c r="E25" s="62"/>
      <c r="F25" s="63"/>
      <c r="J25" s="62"/>
      <c r="K25" s="63"/>
      <c r="O25" s="62"/>
      <c r="P25" s="63"/>
      <c r="T25" s="48"/>
      <c r="U25" s="9"/>
      <c r="V25" s="9"/>
      <c r="W25" s="9"/>
      <c r="X25" s="9"/>
      <c r="Y25" s="9"/>
      <c r="Z25" s="9"/>
    </row>
    <row r="26" ht="45.75" customHeight="1">
      <c r="A26" s="54"/>
      <c r="E26" s="62"/>
      <c r="F26" s="63"/>
      <c r="J26" s="62"/>
      <c r="K26" s="63"/>
      <c r="O26" s="62"/>
      <c r="P26" s="63"/>
      <c r="T26" s="48"/>
      <c r="U26" s="9"/>
      <c r="V26" s="9"/>
      <c r="W26" s="9"/>
      <c r="X26" s="9"/>
      <c r="Y26" s="9"/>
      <c r="Z26" s="9"/>
    </row>
    <row r="27" ht="45.75" customHeight="1">
      <c r="A27" s="73"/>
      <c r="B27" s="6"/>
      <c r="C27" s="6"/>
      <c r="D27" s="6"/>
      <c r="E27" s="75"/>
      <c r="F27" s="76"/>
      <c r="G27" s="6"/>
      <c r="H27" s="6"/>
      <c r="I27" s="6"/>
      <c r="J27" s="75"/>
      <c r="K27" s="76"/>
      <c r="L27" s="6"/>
      <c r="M27" s="6"/>
      <c r="N27" s="6"/>
      <c r="O27" s="75"/>
      <c r="P27" s="76"/>
      <c r="Q27" s="6"/>
      <c r="R27" s="6"/>
      <c r="S27" s="6"/>
      <c r="T27" s="78"/>
      <c r="U27" s="9"/>
      <c r="V27" s="9"/>
      <c r="W27" s="9"/>
      <c r="X27" s="9"/>
      <c r="Y27" s="9"/>
      <c r="Z27" s="9"/>
    </row>
    <row r="28" ht="45.75" customHeight="1">
      <c r="A28" s="264"/>
      <c r="B28" s="90"/>
      <c r="C28" s="90"/>
      <c r="D28" s="90"/>
      <c r="E28" s="91"/>
      <c r="F28" s="265"/>
      <c r="G28" s="90"/>
      <c r="H28" s="90"/>
      <c r="I28" s="90"/>
      <c r="J28" s="91"/>
      <c r="K28" s="265"/>
      <c r="L28" s="90"/>
      <c r="M28" s="90"/>
      <c r="N28" s="90"/>
      <c r="O28" s="91"/>
      <c r="P28" s="265"/>
      <c r="Q28" s="90"/>
      <c r="R28" s="90"/>
      <c r="S28" s="90"/>
      <c r="T28" s="95"/>
      <c r="U28" s="9"/>
      <c r="V28" s="9"/>
      <c r="W28" s="9"/>
      <c r="X28" s="9"/>
      <c r="Y28" s="9"/>
      <c r="Z28" s="9"/>
    </row>
    <row r="29" ht="45.75" customHeight="1">
      <c r="A29" s="54"/>
      <c r="E29" s="62"/>
      <c r="F29" s="63"/>
      <c r="J29" s="62"/>
      <c r="K29" s="63"/>
      <c r="O29" s="62"/>
      <c r="P29" s="63"/>
      <c r="T29" s="48"/>
      <c r="U29" s="9"/>
      <c r="V29" s="9"/>
      <c r="W29" s="9"/>
      <c r="X29" s="9"/>
      <c r="Y29" s="9"/>
      <c r="Z29" s="9"/>
    </row>
    <row r="30" ht="45.75" customHeight="1">
      <c r="A30" s="54"/>
      <c r="E30" s="62"/>
      <c r="F30" s="63"/>
      <c r="J30" s="62"/>
      <c r="K30" s="63"/>
      <c r="O30" s="62"/>
      <c r="P30" s="63"/>
      <c r="T30" s="48"/>
      <c r="U30" s="9"/>
      <c r="V30" s="9"/>
      <c r="W30" s="9"/>
      <c r="X30" s="9"/>
      <c r="Y30" s="9"/>
      <c r="Z30" s="9"/>
    </row>
    <row r="31" ht="45.75" customHeight="1">
      <c r="A31" s="54"/>
      <c r="E31" s="62"/>
      <c r="F31" s="63"/>
      <c r="J31" s="62"/>
      <c r="K31" s="63"/>
      <c r="O31" s="62"/>
      <c r="P31" s="63"/>
      <c r="T31" s="48"/>
      <c r="U31" s="9"/>
      <c r="V31" s="9"/>
      <c r="W31" s="9"/>
      <c r="X31" s="9"/>
      <c r="Y31" s="9"/>
      <c r="Z31" s="9"/>
    </row>
    <row r="32" ht="45.75" customHeight="1">
      <c r="A32" s="54"/>
      <c r="E32" s="62"/>
      <c r="F32" s="63"/>
      <c r="J32" s="62"/>
      <c r="K32" s="63"/>
      <c r="O32" s="62"/>
      <c r="P32" s="63"/>
      <c r="T32" s="48"/>
      <c r="U32" s="9"/>
      <c r="V32" s="9"/>
      <c r="W32" s="9"/>
      <c r="X32" s="9"/>
      <c r="Y32" s="9"/>
      <c r="Z32" s="9"/>
    </row>
    <row r="33" ht="45.75" customHeight="1">
      <c r="A33" s="54"/>
      <c r="E33" s="62"/>
      <c r="F33" s="63"/>
      <c r="J33" s="62"/>
      <c r="K33" s="63"/>
      <c r="O33" s="62"/>
      <c r="P33" s="63"/>
      <c r="T33" s="48"/>
      <c r="U33" s="9"/>
      <c r="V33" s="9"/>
      <c r="W33" s="9"/>
      <c r="X33" s="9"/>
      <c r="Y33" s="9"/>
      <c r="Z33" s="9"/>
    </row>
    <row r="34" ht="45.75" customHeight="1">
      <c r="A34" s="54"/>
      <c r="E34" s="62"/>
      <c r="F34" s="63"/>
      <c r="J34" s="62"/>
      <c r="K34" s="63"/>
      <c r="O34" s="62"/>
      <c r="P34" s="63"/>
      <c r="T34" s="48"/>
      <c r="U34" s="9"/>
      <c r="V34" s="9"/>
      <c r="W34" s="9"/>
      <c r="X34" s="9"/>
      <c r="Y34" s="9"/>
      <c r="Z34" s="9"/>
    </row>
    <row r="35" ht="45.75" customHeight="1">
      <c r="A35" s="73"/>
      <c r="B35" s="6"/>
      <c r="C35" s="6"/>
      <c r="D35" s="6"/>
      <c r="E35" s="75"/>
      <c r="F35" s="76"/>
      <c r="G35" s="6"/>
      <c r="H35" s="6"/>
      <c r="I35" s="6"/>
      <c r="J35" s="75"/>
      <c r="K35" s="76"/>
      <c r="L35" s="6"/>
      <c r="M35" s="6"/>
      <c r="N35" s="6"/>
      <c r="O35" s="75"/>
      <c r="P35" s="76"/>
      <c r="Q35" s="6"/>
      <c r="R35" s="6"/>
      <c r="S35" s="6"/>
      <c r="T35" s="78"/>
      <c r="U35" s="9"/>
      <c r="V35" s="9"/>
      <c r="W35" s="9"/>
      <c r="X35" s="9"/>
      <c r="Y35" s="9"/>
      <c r="Z35" s="9"/>
    </row>
    <row r="36" ht="51.0" customHeight="1">
      <c r="A36" s="137"/>
      <c r="U36" s="9"/>
      <c r="V36" s="9"/>
      <c r="W36" s="9"/>
      <c r="X36" s="9"/>
      <c r="Y36" s="9"/>
      <c r="Z36" s="9"/>
    </row>
    <row r="37" ht="13.5" customHeight="1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ht="13.5" customHeight="1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ht="13.5" customHeight="1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ht="13.5" customHeight="1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ht="13.5" customHeight="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ht="13.5" customHeight="1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ht="13.5" customHeight="1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ht="13.5" customHeight="1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ht="13.5" customHeight="1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ht="13.5" customHeight="1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ht="13.5" customHeight="1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ht="13.5" customHeight="1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ht="13.5" customHeight="1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ht="13.5" customHeight="1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ht="13.5" customHeight="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ht="13.5" customHeight="1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ht="13.5" customHeight="1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ht="13.5" customHeight="1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ht="13.5" customHeight="1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ht="13.5" customHeight="1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ht="13.5" customHeight="1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ht="13.5" customHeight="1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ht="13.5" customHeight="1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ht="13.5" customHeight="1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ht="13.5" customHeight="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ht="13.5" customHeight="1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ht="13.5" customHeight="1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ht="13.5" customHeight="1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ht="13.5" customHeight="1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ht="13.5" customHeight="1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ht="13.5" customHeight="1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ht="13.5" customHeight="1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ht="13.5" customHeight="1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ht="13.5" customHeight="1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ht="13.5" customHeight="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ht="13.5" customHeight="1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ht="13.5" customHeight="1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ht="13.5" customHeight="1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ht="13.5" customHeight="1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ht="13.5" customHeight="1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ht="13.5" customHeight="1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ht="13.5" customHeight="1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ht="13.5" customHeight="1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ht="13.5" customHeight="1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ht="13.5" customHeight="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ht="13.5" customHeight="1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ht="13.5" customHeight="1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ht="13.5" customHeight="1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ht="13.5" customHeight="1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ht="13.5" customHeight="1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ht="13.5" customHeight="1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ht="13.5" customHeight="1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ht="13.5" customHeight="1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ht="13.5" customHeight="1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ht="13.5" customHeight="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ht="13.5" customHeight="1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ht="13.5" customHeight="1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ht="13.5" customHeight="1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ht="13.5" customHeight="1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ht="13.5" customHeight="1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ht="13.5" customHeight="1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ht="13.5" customHeight="1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ht="13.5" customHeight="1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ht="13.5" customHeight="1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ht="13.5" customHeight="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ht="13.5" customHeight="1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ht="13.5" customHeight="1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ht="13.5" customHeight="1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ht="13.5" customHeight="1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ht="13.5" customHeight="1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ht="13.5" customHeight="1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ht="13.5" customHeight="1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ht="13.5" customHeight="1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ht="13.5" customHeight="1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ht="13.5" customHeight="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ht="13.5" customHeight="1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ht="13.5" customHeight="1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ht="13.5" customHeight="1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ht="13.5" customHeight="1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ht="13.5" customHeight="1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ht="13.5" customHeight="1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ht="13.5" customHeight="1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ht="13.5" customHeight="1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ht="13.5" customHeight="1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ht="13.5" customHeight="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ht="13.5" customHeight="1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ht="13.5" customHeight="1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ht="13.5" customHeight="1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ht="13.5" customHeight="1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ht="13.5" customHeight="1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ht="13.5" customHeight="1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ht="13.5" customHeight="1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ht="13.5" customHeight="1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ht="13.5" customHeight="1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ht="13.5" customHeight="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ht="13.5" customHeight="1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ht="13.5" customHeight="1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ht="13.5" customHeight="1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ht="13.5" customHeight="1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ht="13.5" customHeight="1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ht="13.5" customHeight="1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ht="13.5" customHeight="1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ht="13.5" customHeight="1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ht="13.5" customHeight="1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ht="13.5" customHeight="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ht="13.5" customHeight="1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ht="13.5" customHeight="1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ht="13.5" customHeight="1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ht="13.5" customHeight="1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ht="13.5" customHeight="1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ht="13.5" customHeight="1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ht="13.5" customHeight="1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ht="13.5" customHeight="1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ht="13.5" customHeight="1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ht="13.5" customHeight="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ht="13.5" customHeight="1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ht="13.5" customHeight="1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ht="13.5" customHeight="1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ht="13.5" customHeight="1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ht="13.5" customHeight="1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ht="13.5" customHeight="1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ht="13.5" customHeight="1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ht="13.5" customHeight="1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ht="13.5" customHeight="1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ht="13.5" customHeight="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ht="13.5" customHeight="1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ht="13.5" customHeight="1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ht="13.5" customHeight="1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ht="13.5" customHeight="1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ht="13.5" customHeight="1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ht="13.5" customHeight="1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ht="13.5" customHeight="1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ht="13.5" customHeight="1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ht="13.5" customHeight="1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ht="13.5" customHeight="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ht="13.5" customHeight="1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ht="13.5" customHeight="1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ht="13.5" customHeight="1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ht="13.5" customHeight="1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ht="13.5" customHeight="1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ht="13.5" customHeight="1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ht="13.5" customHeight="1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ht="13.5" customHeight="1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ht="13.5" customHeight="1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ht="13.5" customHeight="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ht="13.5" customHeight="1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ht="13.5" customHeight="1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ht="13.5" customHeight="1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ht="13.5" customHeight="1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ht="13.5" customHeight="1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ht="13.5" customHeight="1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ht="13.5" customHeight="1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ht="13.5" customHeight="1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ht="13.5" customHeight="1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ht="13.5" customHeight="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ht="13.5" customHeight="1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ht="13.5" customHeight="1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ht="13.5" customHeight="1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ht="13.5" customHeight="1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ht="13.5" customHeight="1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ht="13.5" customHeight="1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ht="13.5" customHeight="1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ht="13.5" customHeight="1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ht="13.5" customHeight="1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ht="13.5" customHeight="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ht="13.5" customHeight="1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ht="13.5" customHeight="1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ht="13.5" customHeight="1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ht="13.5" customHeight="1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ht="13.5" customHeight="1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ht="13.5" customHeight="1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ht="13.5" customHeight="1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ht="13.5" customHeight="1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ht="13.5" customHeight="1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ht="13.5" customHeight="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ht="13.5" customHeight="1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ht="13.5" customHeight="1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ht="13.5" customHeight="1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ht="13.5" customHeight="1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ht="13.5" customHeight="1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ht="13.5" customHeight="1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ht="13.5" customHeight="1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ht="13.5" customHeight="1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ht="13.5" customHeight="1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ht="13.5" customHeight="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ht="13.5" customHeight="1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ht="13.5" customHeight="1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ht="13.5" customHeight="1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ht="13.5" customHeight="1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ht="13.5" customHeight="1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ht="13.5" customHeight="1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ht="13.5" customHeight="1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ht="13.5" customHeight="1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ht="13.5" customHeight="1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ht="13.5" customHeight="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ht="13.5" customHeight="1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ht="13.5" customHeight="1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ht="13.5" customHeight="1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ht="13.5" customHeight="1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ht="13.5" customHeight="1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ht="13.5" customHeight="1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ht="13.5" customHeight="1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ht="13.5" customHeight="1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ht="13.5" customHeight="1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ht="13.5" customHeight="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ht="13.5" customHeight="1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ht="13.5" customHeight="1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ht="13.5" customHeight="1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ht="13.5" customHeight="1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ht="13.5" customHeight="1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ht="13.5" customHeight="1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ht="13.5" customHeight="1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ht="13.5" customHeight="1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ht="13.5" customHeight="1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ht="13.5" customHeight="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ht="13.5" customHeight="1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ht="13.5" customHeight="1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ht="13.5" customHeight="1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ht="13.5" customHeight="1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ht="13.5" customHeight="1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ht="13.5" customHeight="1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ht="13.5" customHeight="1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ht="13.5" customHeight="1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ht="13.5" customHeight="1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ht="13.5" customHeight="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ht="13.5" customHeight="1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ht="13.5" customHeight="1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ht="13.5" customHeight="1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ht="13.5" customHeight="1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ht="13.5" customHeight="1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ht="13.5" customHeight="1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ht="13.5" customHeight="1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ht="13.5" customHeight="1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ht="13.5" customHeight="1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ht="13.5" customHeight="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ht="13.5" customHeight="1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ht="13.5" customHeight="1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ht="13.5" customHeight="1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ht="13.5" customHeight="1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ht="13.5" customHeight="1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ht="13.5" customHeight="1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ht="13.5" customHeight="1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ht="13.5" customHeight="1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ht="13.5" customHeight="1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ht="13.5" customHeight="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ht="13.5" customHeight="1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ht="13.5" customHeight="1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ht="13.5" customHeight="1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ht="13.5" customHeight="1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ht="13.5" customHeight="1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ht="13.5" customHeight="1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ht="13.5" customHeight="1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ht="13.5" customHeight="1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ht="13.5" customHeight="1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ht="13.5" customHeight="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ht="13.5" customHeight="1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ht="13.5" customHeight="1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ht="13.5" customHeight="1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ht="13.5" customHeight="1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ht="13.5" customHeight="1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ht="13.5" customHeight="1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ht="13.5" customHeight="1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ht="13.5" customHeight="1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ht="13.5" customHeight="1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ht="13.5" customHeight="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ht="13.5" customHeight="1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ht="13.5" customHeight="1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ht="13.5" customHeight="1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ht="13.5" customHeight="1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ht="13.5" customHeight="1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ht="13.5" customHeight="1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ht="13.5" customHeight="1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ht="13.5" customHeight="1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ht="13.5" customHeight="1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ht="13.5" customHeight="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ht="13.5" customHeight="1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ht="13.5" customHeight="1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ht="13.5" customHeight="1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ht="13.5" customHeight="1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ht="13.5" customHeight="1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ht="13.5" customHeight="1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ht="13.5" customHeight="1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ht="13.5" customHeight="1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ht="13.5" customHeight="1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ht="13.5" customHeight="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ht="13.5" customHeight="1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ht="13.5" customHeight="1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ht="13.5" customHeight="1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ht="13.5" customHeight="1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ht="13.5" customHeight="1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ht="13.5" customHeight="1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ht="13.5" customHeight="1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ht="13.5" customHeight="1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ht="13.5" customHeight="1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ht="13.5" customHeight="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ht="13.5" customHeight="1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ht="13.5" customHeight="1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ht="13.5" customHeight="1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ht="13.5" customHeight="1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ht="13.5" customHeight="1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ht="13.5" customHeight="1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ht="13.5" customHeight="1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ht="13.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ht="13.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ht="13.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ht="13.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ht="13.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ht="13.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ht="13.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ht="13.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ht="13.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ht="13.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ht="13.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ht="13.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ht="13.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ht="13.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ht="13.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ht="13.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ht="13.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ht="13.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ht="13.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ht="13.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ht="13.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ht="13.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ht="13.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ht="13.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 ht="13.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 ht="13.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 ht="13.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 ht="13.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 ht="13.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 ht="13.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 ht="13.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 ht="13.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 ht="13.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 ht="13.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 ht="13.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 ht="13.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 ht="13.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 ht="13.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 ht="13.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 ht="13.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 ht="13.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 ht="13.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 ht="13.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 ht="13.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 ht="13.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 ht="13.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 ht="13.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 ht="13.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 ht="13.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 ht="13.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 ht="13.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 ht="13.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 ht="13.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 ht="13.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 ht="13.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 ht="13.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 ht="13.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 ht="13.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 ht="13.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 ht="13.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 ht="13.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 ht="13.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 ht="13.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 ht="13.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 ht="13.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 ht="13.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 ht="13.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 ht="13.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 ht="13.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 ht="13.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 ht="13.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 ht="13.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 ht="13.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 ht="13.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 ht="13.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 ht="13.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 ht="13.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 ht="13.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 ht="13.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 ht="13.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 ht="13.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 ht="13.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 ht="13.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 ht="13.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 ht="13.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 ht="13.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 ht="13.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 ht="13.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 ht="13.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 ht="13.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 ht="13.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 ht="13.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 ht="13.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 ht="13.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 ht="13.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 ht="13.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 ht="13.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 ht="13.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 ht="13.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 ht="13.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 ht="13.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 ht="13.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 ht="13.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 ht="13.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 ht="13.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 ht="13.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 ht="13.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 ht="13.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 ht="13.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 ht="13.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 ht="13.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 ht="13.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 ht="13.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 ht="13.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 ht="13.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 ht="13.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 ht="13.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 ht="13.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 ht="13.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 ht="13.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 ht="13.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 ht="13.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 ht="13.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 ht="13.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 ht="13.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 ht="13.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 ht="13.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 ht="13.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 ht="13.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 ht="13.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 ht="13.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 ht="13.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 ht="13.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 ht="13.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 ht="13.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 ht="13.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 ht="13.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 ht="13.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 ht="13.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 ht="13.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 ht="13.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 ht="13.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 ht="13.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 ht="13.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 ht="13.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 ht="13.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 ht="13.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 ht="13.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 ht="13.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 ht="13.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 ht="13.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 ht="13.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 ht="13.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 ht="13.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 ht="13.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 ht="13.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 ht="13.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 ht="13.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 ht="13.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 ht="13.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 ht="13.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 ht="13.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 ht="13.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 ht="13.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 ht="13.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 ht="13.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 ht="13.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 ht="13.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 ht="13.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 ht="13.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 ht="13.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 ht="13.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 ht="13.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 ht="13.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 ht="13.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 ht="13.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 ht="13.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 ht="13.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 ht="13.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 ht="13.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 ht="13.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 ht="13.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 ht="13.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 ht="13.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 ht="13.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 ht="13.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 ht="13.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 ht="13.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 ht="13.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 ht="13.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 ht="13.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 ht="13.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 ht="13.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 ht="13.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 ht="13.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 ht="13.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 ht="13.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 ht="13.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 ht="13.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 ht="13.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 ht="13.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 ht="13.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 ht="13.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 ht="13.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 ht="13.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 ht="13.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 ht="13.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 ht="13.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 ht="13.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 ht="13.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 ht="13.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 ht="13.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 ht="13.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 ht="13.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 ht="13.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 ht="13.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 ht="13.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 ht="13.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 ht="13.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 ht="13.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 ht="13.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 ht="13.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 ht="13.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 ht="13.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 ht="13.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 ht="13.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 ht="13.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 ht="13.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 ht="13.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 ht="13.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 ht="13.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 ht="13.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 ht="13.5" customHeight="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 ht="13.5" customHeight="1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 ht="13.5" customHeight="1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 ht="13.5" customHeight="1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 ht="13.5" customHeight="1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 ht="13.5" customHeight="1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 ht="13.5" customHeight="1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 ht="13.5" customHeight="1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 ht="13.5" customHeight="1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 ht="13.5" customHeight="1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 ht="13.5" customHeight="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 ht="13.5" customHeight="1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 ht="13.5" customHeight="1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 ht="13.5" customHeight="1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 ht="13.5" customHeight="1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 ht="13.5" customHeight="1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 ht="13.5" customHeight="1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 ht="13.5" customHeight="1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 ht="13.5" customHeight="1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 ht="13.5" customHeight="1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 ht="13.5" customHeight="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 ht="13.5" customHeight="1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 ht="13.5" customHeight="1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 ht="13.5" customHeight="1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 ht="13.5" customHeight="1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 ht="13.5" customHeight="1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 ht="13.5" customHeight="1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 ht="13.5" customHeight="1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 ht="13.5" customHeight="1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 ht="13.5" customHeight="1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 ht="13.5" customHeight="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 ht="13.5" customHeight="1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 ht="13.5" customHeight="1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 ht="13.5" customHeight="1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 ht="13.5" customHeight="1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 ht="13.5" customHeight="1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 ht="13.5" customHeight="1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 ht="13.5" customHeight="1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 ht="13.5" customHeight="1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 ht="13.5" customHeight="1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 ht="13.5" customHeight="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 ht="13.5" customHeight="1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 ht="13.5" customHeight="1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 ht="13.5" customHeight="1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 ht="13.5" customHeight="1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 ht="13.5" customHeight="1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 ht="13.5" customHeight="1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 ht="13.5" customHeight="1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 ht="13.5" customHeight="1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 ht="13.5" customHeight="1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 ht="13.5" customHeight="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 ht="13.5" customHeight="1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 ht="13.5" customHeight="1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 ht="13.5" customHeight="1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 ht="13.5" customHeight="1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 ht="13.5" customHeight="1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 ht="13.5" customHeight="1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 ht="13.5" customHeight="1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 ht="13.5" customHeight="1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 ht="13.5" customHeight="1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 ht="13.5" customHeight="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 ht="13.5" customHeight="1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 ht="13.5" customHeight="1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 ht="13.5" customHeight="1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 ht="13.5" customHeight="1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 ht="13.5" customHeight="1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 ht="13.5" customHeight="1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 ht="13.5" customHeight="1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 ht="13.5" customHeight="1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 ht="13.5" customHeight="1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 ht="13.5" customHeight="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 ht="13.5" customHeight="1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 ht="13.5" customHeight="1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 ht="13.5" customHeight="1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 ht="13.5" customHeight="1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 ht="13.5" customHeight="1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 ht="13.5" customHeight="1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 ht="13.5" customHeight="1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 ht="13.5" customHeight="1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 ht="13.5" customHeight="1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 ht="13.5" customHeight="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 ht="13.5" customHeight="1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 ht="13.5" customHeight="1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 ht="13.5" customHeight="1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 ht="13.5" customHeight="1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 ht="13.5" customHeight="1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 ht="13.5" customHeight="1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 ht="13.5" customHeight="1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 ht="13.5" customHeight="1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 ht="13.5" customHeight="1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 ht="13.5" customHeight="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 ht="13.5" customHeight="1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 ht="13.5" customHeight="1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 ht="13.5" customHeight="1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 ht="13.5" customHeight="1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 ht="13.5" customHeight="1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 ht="13.5" customHeight="1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 ht="13.5" customHeight="1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 ht="13.5" customHeight="1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 ht="13.5" customHeight="1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 ht="13.5" customHeight="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 ht="13.5" customHeight="1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 ht="13.5" customHeight="1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 ht="13.5" customHeight="1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 ht="13.5" customHeight="1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 ht="13.5" customHeight="1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 ht="13.5" customHeight="1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 ht="13.5" customHeight="1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 ht="13.5" customHeight="1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 ht="13.5" customHeight="1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 ht="13.5" customHeight="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 ht="13.5" customHeight="1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 ht="13.5" customHeight="1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 ht="13.5" customHeight="1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 ht="13.5" customHeight="1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 ht="13.5" customHeight="1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 ht="13.5" customHeight="1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 ht="13.5" customHeight="1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 ht="13.5" customHeight="1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 ht="13.5" customHeight="1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 ht="13.5" customHeight="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 ht="13.5" customHeight="1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 ht="13.5" customHeight="1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 ht="13.5" customHeight="1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 ht="13.5" customHeight="1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 ht="13.5" customHeight="1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 ht="13.5" customHeight="1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 ht="13.5" customHeight="1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 ht="13.5" customHeight="1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 ht="13.5" customHeight="1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 ht="13.5" customHeight="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 ht="13.5" customHeight="1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 ht="13.5" customHeight="1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 ht="13.5" customHeight="1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 ht="13.5" customHeight="1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 ht="13.5" customHeight="1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 ht="13.5" customHeight="1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 ht="13.5" customHeight="1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 ht="13.5" customHeight="1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 ht="13.5" customHeight="1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 ht="13.5" customHeight="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 ht="13.5" customHeight="1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 ht="13.5" customHeight="1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 ht="13.5" customHeight="1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 ht="13.5" customHeight="1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 ht="13.5" customHeight="1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 ht="13.5" customHeight="1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 ht="13.5" customHeight="1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 ht="13.5" customHeight="1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 ht="13.5" customHeight="1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 ht="13.5" customHeight="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 ht="13.5" customHeight="1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 ht="13.5" customHeight="1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 ht="13.5" customHeight="1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 ht="13.5" customHeight="1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 ht="13.5" customHeight="1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 ht="13.5" customHeight="1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 ht="13.5" customHeight="1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 ht="13.5" customHeight="1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 ht="13.5" customHeight="1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 ht="13.5" customHeight="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 ht="13.5" customHeight="1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 ht="13.5" customHeight="1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 ht="13.5" customHeight="1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 ht="13.5" customHeight="1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 ht="13.5" customHeight="1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 ht="13.5" customHeight="1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 ht="13.5" customHeight="1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 ht="13.5" customHeight="1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 ht="13.5" customHeight="1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 ht="13.5" customHeight="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 ht="13.5" customHeight="1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 ht="13.5" customHeight="1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 ht="13.5" customHeight="1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 ht="13.5" customHeight="1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 ht="13.5" customHeight="1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 ht="13.5" customHeight="1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 ht="13.5" customHeight="1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 ht="13.5" customHeight="1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 ht="13.5" customHeight="1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 ht="13.5" customHeight="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 ht="13.5" customHeight="1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 ht="13.5" customHeight="1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 ht="13.5" customHeight="1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 ht="13.5" customHeight="1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 ht="13.5" customHeight="1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 ht="13.5" customHeight="1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 ht="13.5" customHeight="1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 ht="13.5" customHeight="1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 ht="13.5" customHeight="1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 ht="13.5" customHeight="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 ht="13.5" customHeight="1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 ht="13.5" customHeight="1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 ht="13.5" customHeight="1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 ht="13.5" customHeight="1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 ht="13.5" customHeight="1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 ht="13.5" customHeight="1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 ht="13.5" customHeight="1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 ht="13.5" customHeight="1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 ht="13.5" customHeight="1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 ht="13.5" customHeight="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 ht="13.5" customHeight="1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 ht="13.5" customHeight="1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 ht="13.5" customHeight="1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 ht="13.5" customHeight="1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 ht="13.5" customHeight="1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 ht="13.5" customHeight="1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 ht="13.5" customHeight="1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 ht="13.5" customHeight="1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 ht="13.5" customHeight="1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 ht="13.5" customHeight="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 ht="13.5" customHeight="1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 ht="13.5" customHeight="1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 ht="13.5" customHeight="1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 ht="13.5" customHeight="1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 ht="13.5" customHeight="1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 ht="13.5" customHeight="1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 ht="13.5" customHeight="1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 ht="13.5" customHeight="1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 ht="13.5" customHeight="1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 ht="13.5" customHeight="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 ht="13.5" customHeight="1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 ht="13.5" customHeight="1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 ht="13.5" customHeight="1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 ht="13.5" customHeight="1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 ht="13.5" customHeight="1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 ht="13.5" customHeight="1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 ht="13.5" customHeight="1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 ht="13.5" customHeight="1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 ht="13.5" customHeight="1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 ht="13.5" customHeight="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 ht="13.5" customHeight="1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 ht="13.5" customHeight="1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 ht="13.5" customHeight="1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 ht="13.5" customHeight="1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 ht="13.5" customHeight="1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 ht="13.5" customHeight="1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 ht="13.5" customHeight="1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 ht="13.5" customHeight="1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 ht="13.5" customHeight="1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 ht="13.5" customHeight="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 ht="13.5" customHeight="1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 ht="13.5" customHeight="1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 ht="13.5" customHeight="1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 ht="13.5" customHeight="1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 ht="13.5" customHeight="1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 ht="13.5" customHeight="1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 ht="13.5" customHeight="1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 ht="13.5" customHeight="1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 ht="13.5" customHeight="1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 ht="13.5" customHeight="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 ht="13.5" customHeight="1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 ht="13.5" customHeight="1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 ht="13.5" customHeight="1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 ht="13.5" customHeight="1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 ht="13.5" customHeight="1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 ht="13.5" customHeight="1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 ht="13.5" customHeight="1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 ht="13.5" customHeight="1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 ht="13.5" customHeight="1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 ht="13.5" customHeight="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 ht="13.5" customHeight="1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 ht="13.5" customHeight="1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 ht="13.5" customHeight="1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 ht="13.5" customHeight="1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 ht="13.5" customHeight="1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 ht="13.5" customHeight="1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 ht="13.5" customHeight="1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 ht="13.5" customHeight="1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 ht="13.5" customHeight="1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 ht="13.5" customHeight="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 ht="13.5" customHeight="1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 ht="13.5" customHeight="1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 ht="13.5" customHeight="1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 ht="13.5" customHeight="1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 ht="13.5" customHeight="1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 ht="13.5" customHeight="1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 ht="13.5" customHeight="1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 ht="13.5" customHeight="1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 ht="13.5" customHeight="1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 ht="13.5" customHeight="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 ht="13.5" customHeight="1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 ht="13.5" customHeight="1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 ht="13.5" customHeight="1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 ht="13.5" customHeight="1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 ht="13.5" customHeight="1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 ht="13.5" customHeight="1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 ht="13.5" customHeight="1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 ht="13.5" customHeight="1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 ht="13.5" customHeight="1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 ht="13.5" customHeight="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 ht="13.5" customHeight="1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 ht="13.5" customHeight="1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 ht="13.5" customHeight="1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 ht="13.5" customHeight="1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 ht="13.5" customHeight="1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 ht="13.5" customHeight="1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 ht="13.5" customHeight="1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 ht="13.5" customHeight="1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 ht="13.5" customHeight="1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 ht="13.5" customHeight="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 ht="13.5" customHeight="1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 ht="13.5" customHeight="1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 ht="13.5" customHeight="1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 ht="13.5" customHeight="1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 ht="13.5" customHeight="1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 ht="13.5" customHeight="1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 ht="13.5" customHeight="1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 ht="13.5" customHeight="1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 ht="13.5" customHeight="1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 ht="13.5" customHeight="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 ht="13.5" customHeight="1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 ht="13.5" customHeight="1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 ht="13.5" customHeight="1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 ht="13.5" customHeight="1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 ht="13.5" customHeight="1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 ht="13.5" customHeight="1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 ht="13.5" customHeight="1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 ht="13.5" customHeight="1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 ht="13.5" customHeight="1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 ht="13.5" customHeight="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 ht="13.5" customHeight="1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 ht="13.5" customHeight="1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 ht="13.5" customHeight="1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 ht="13.5" customHeight="1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 ht="13.5" customHeight="1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 ht="13.5" customHeight="1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 ht="13.5" customHeight="1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 ht="13.5" customHeight="1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 ht="13.5" customHeight="1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 ht="13.5" customHeight="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 ht="13.5" customHeight="1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 ht="13.5" customHeight="1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 ht="13.5" customHeight="1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 ht="13.5" customHeight="1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 ht="13.5" customHeight="1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 ht="13.5" customHeight="1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 ht="13.5" customHeight="1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 ht="13.5" customHeight="1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 ht="13.5" customHeight="1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 ht="13.5" customHeight="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 ht="13.5" customHeight="1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 ht="13.5" customHeight="1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 ht="13.5" customHeight="1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 ht="13.5" customHeight="1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 ht="13.5" customHeight="1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 ht="13.5" customHeight="1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 ht="13.5" customHeight="1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 ht="13.5" customHeight="1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 ht="13.5" customHeight="1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 ht="13.5" customHeight="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 ht="13.5" customHeight="1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 ht="13.5" customHeight="1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 ht="13.5" customHeight="1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 ht="13.5" customHeight="1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 ht="13.5" customHeight="1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 ht="13.5" customHeight="1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 ht="13.5" customHeight="1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 ht="13.5" customHeight="1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 ht="13.5" customHeight="1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 ht="13.5" customHeight="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 ht="13.5" customHeight="1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 ht="13.5" customHeight="1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 ht="13.5" customHeight="1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 ht="13.5" customHeight="1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 ht="13.5" customHeight="1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 ht="13.5" customHeight="1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 ht="13.5" customHeight="1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 ht="13.5" customHeight="1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 ht="13.5" customHeight="1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 ht="13.5" customHeight="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 ht="13.5" customHeight="1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 ht="13.5" customHeight="1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 ht="13.5" customHeight="1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 ht="13.5" customHeight="1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 ht="13.5" customHeight="1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 ht="13.5" customHeight="1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 ht="13.5" customHeight="1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 ht="13.5" customHeight="1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 ht="13.5" customHeight="1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 ht="13.5" customHeight="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 ht="13.5" customHeight="1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 ht="13.5" customHeight="1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 ht="13.5" customHeight="1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 ht="13.5" customHeight="1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 ht="13.5" customHeight="1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 ht="13.5" customHeight="1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 ht="13.5" customHeight="1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 ht="13.5" customHeight="1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 ht="13.5" customHeight="1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 ht="13.5" customHeight="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 ht="13.5" customHeight="1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 ht="13.5" customHeight="1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 ht="13.5" customHeight="1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 ht="13.5" customHeight="1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 ht="13.5" customHeight="1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 ht="13.5" customHeight="1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 ht="13.5" customHeight="1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 ht="13.5" customHeight="1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 ht="13.5" customHeight="1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 ht="13.5" customHeight="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 ht="13.5" customHeight="1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 ht="13.5" customHeight="1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 ht="13.5" customHeight="1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 ht="13.5" customHeight="1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 ht="13.5" customHeight="1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 ht="13.5" customHeight="1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 ht="13.5" customHeight="1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 ht="13.5" customHeight="1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 ht="13.5" customHeight="1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 ht="13.5" customHeight="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 ht="13.5" customHeight="1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 ht="13.5" customHeight="1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 ht="13.5" customHeight="1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 ht="13.5" customHeight="1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 ht="13.5" customHeight="1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 ht="13.5" customHeight="1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 ht="13.5" customHeight="1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 ht="13.5" customHeight="1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 ht="13.5" customHeight="1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 ht="13.5" customHeight="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 ht="13.5" customHeight="1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 ht="13.5" customHeight="1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 ht="13.5" customHeight="1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 ht="13.5" customHeight="1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 ht="13.5" customHeight="1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 ht="13.5" customHeight="1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 ht="13.5" customHeight="1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 ht="13.5" customHeight="1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 ht="13.5" customHeight="1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mergeCells count="24">
    <mergeCell ref="A1:T1"/>
    <mergeCell ref="C2:D2"/>
    <mergeCell ref="G2:K2"/>
    <mergeCell ref="M2:S2"/>
    <mergeCell ref="C3:D3"/>
    <mergeCell ref="G3:H3"/>
    <mergeCell ref="J3:N3"/>
    <mergeCell ref="A4:E11"/>
    <mergeCell ref="F4:J11"/>
    <mergeCell ref="K4:O11"/>
    <mergeCell ref="P4:T11"/>
    <mergeCell ref="F12:J19"/>
    <mergeCell ref="K12:O19"/>
    <mergeCell ref="P12:T19"/>
    <mergeCell ref="K28:O35"/>
    <mergeCell ref="P28:T35"/>
    <mergeCell ref="A12:E19"/>
    <mergeCell ref="A20:E27"/>
    <mergeCell ref="F20:J27"/>
    <mergeCell ref="K20:O27"/>
    <mergeCell ref="P20:T27"/>
    <mergeCell ref="A28:E35"/>
    <mergeCell ref="F28:J35"/>
    <mergeCell ref="A36:T36"/>
  </mergeCells>
  <printOptions/>
  <pageMargins bottom="0.0" footer="0.0" header="0.0" left="0.0" right="0.0" top="0.25"/>
  <pageSetup paperSize="9" orientation="landscape"/>
  <rowBreaks count="1" manualBreakCount="1">
    <brk id="35" man="1"/>
  </rowBreak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8.63"/>
  </cols>
  <sheetData>
    <row r="1" ht="12.0" customHeight="1"/>
    <row r="2" ht="12.0" customHeight="1"/>
    <row r="3" ht="12.0" customHeight="1"/>
    <row r="4" ht="12.0" customHeight="1"/>
    <row r="5" ht="12.0" customHeight="1"/>
    <row r="6" ht="12.0" customHeight="1"/>
    <row r="7" ht="12.0" customHeight="1"/>
    <row r="8" ht="12.0" customHeight="1"/>
    <row r="9" ht="12.0" customHeight="1"/>
    <row r="10" ht="12.0" customHeight="1"/>
    <row r="11" ht="12.0" customHeight="1"/>
    <row r="12" ht="12.0" customHeight="1"/>
    <row r="13" ht="12.0" customHeight="1"/>
    <row r="14" ht="12.0" customHeight="1"/>
    <row r="15" ht="12.0" customHeight="1"/>
    <row r="16" ht="12.0" customHeight="1"/>
    <row r="17" ht="12.0" customHeight="1"/>
    <row r="18" ht="12.0" customHeight="1"/>
    <row r="19" ht="12.0" customHeight="1"/>
    <row r="20" ht="12.0" customHeight="1"/>
    <row r="21" ht="12.0" customHeight="1"/>
    <row r="22" ht="12.0" customHeight="1"/>
    <row r="23" ht="12.0" customHeight="1"/>
    <row r="24" ht="12.0" customHeight="1"/>
    <row r="25" ht="12.0" customHeight="1"/>
    <row r="26" ht="12.0" customHeight="1"/>
    <row r="27" ht="12.0" customHeight="1"/>
    <row r="28" ht="12.0" customHeight="1"/>
    <row r="29" ht="12.0" customHeight="1"/>
    <row r="30" ht="12.0" customHeight="1"/>
    <row r="31" ht="12.0" customHeight="1"/>
    <row r="32" ht="12.0" customHeight="1"/>
    <row r="33" ht="12.0" customHeight="1"/>
    <row r="34" ht="12.0" customHeight="1"/>
    <row r="35" ht="12.0" customHeight="1"/>
    <row r="36" ht="12.0" customHeight="1"/>
    <row r="37" ht="12.0" customHeight="1"/>
    <row r="38" ht="12.0" customHeight="1"/>
    <row r="39" ht="12.0" customHeight="1"/>
    <row r="40" ht="12.0" customHeight="1"/>
    <row r="41" ht="12.0" customHeight="1"/>
    <row r="42" ht="12.0" customHeight="1"/>
    <row r="43" ht="12.0" customHeight="1"/>
    <row r="44" ht="12.0" customHeight="1"/>
    <row r="45" ht="12.0" customHeight="1"/>
    <row r="46" ht="12.0" customHeight="1"/>
    <row r="47" ht="12.0" customHeight="1"/>
    <row r="48" ht="12.0" customHeight="1"/>
    <row r="49" ht="12.0" customHeight="1"/>
    <row r="50" ht="12.0" customHeight="1"/>
    <row r="51" ht="12.0" customHeight="1"/>
    <row r="52" ht="12.0" customHeight="1"/>
    <row r="53" ht="12.0" customHeight="1"/>
    <row r="54" ht="12.0" customHeight="1"/>
    <row r="55" ht="12.0" customHeight="1"/>
    <row r="56" ht="12.0" customHeight="1"/>
    <row r="57" ht="12.0" customHeight="1"/>
    <row r="58" ht="12.0" customHeight="1"/>
    <row r="59" ht="12.0" customHeight="1"/>
    <row r="60" ht="12.0" customHeight="1"/>
    <row r="61" ht="12.0" customHeight="1"/>
    <row r="62" ht="12.0" customHeight="1"/>
    <row r="63" ht="12.0" customHeight="1"/>
    <row r="64" ht="12.0" customHeight="1"/>
    <row r="65" ht="12.0" customHeight="1"/>
    <row r="66" ht="12.0" customHeight="1"/>
    <row r="67" ht="12.0" customHeight="1"/>
    <row r="68" ht="12.0" customHeight="1"/>
    <row r="69" ht="12.0" customHeight="1"/>
    <row r="70" ht="12.0" customHeight="1"/>
    <row r="71" ht="12.0" customHeight="1"/>
    <row r="72" ht="12.0" customHeight="1"/>
    <row r="73" ht="12.0" customHeight="1"/>
    <row r="74" ht="12.0" customHeight="1"/>
    <row r="75" ht="12.0" customHeight="1"/>
    <row r="76" ht="12.0" customHeight="1"/>
    <row r="77" ht="12.0" customHeight="1"/>
    <row r="78" ht="12.0" customHeight="1"/>
    <row r="79" ht="12.0" customHeight="1"/>
    <row r="80" ht="12.0" customHeight="1"/>
    <row r="81" ht="12.0" customHeight="1"/>
    <row r="82" ht="12.0" customHeight="1"/>
    <row r="83" ht="12.0" customHeight="1"/>
    <row r="84" ht="12.0" customHeight="1"/>
    <row r="85" ht="12.0" customHeight="1"/>
    <row r="86" ht="12.0" customHeight="1"/>
    <row r="87" ht="12.0" customHeight="1"/>
    <row r="88" ht="12.0" customHeight="1"/>
    <row r="89" ht="12.0" customHeight="1"/>
    <row r="90" ht="12.0" customHeight="1"/>
    <row r="91" ht="12.0" customHeight="1"/>
    <row r="92" ht="12.0" customHeight="1"/>
    <row r="93" ht="12.0" customHeight="1"/>
    <row r="94" ht="12.0" customHeight="1"/>
    <row r="95" ht="12.0" customHeight="1"/>
    <row r="96" ht="12.0" customHeight="1"/>
    <row r="97" ht="12.0" customHeight="1"/>
    <row r="98" ht="12.0" customHeight="1"/>
    <row r="99" ht="12.0" customHeight="1"/>
    <row r="100" ht="12.0" customHeight="1"/>
    <row r="101" ht="12.0" customHeight="1"/>
    <row r="102" ht="12.0" customHeight="1"/>
    <row r="103" ht="12.0" customHeight="1"/>
    <row r="104" ht="12.0" customHeight="1"/>
    <row r="105" ht="12.0" customHeight="1"/>
    <row r="106" ht="12.0" customHeight="1"/>
    <row r="107" ht="12.0" customHeight="1"/>
    <row r="108" ht="12.0" customHeight="1"/>
    <row r="109" ht="12.0" customHeight="1"/>
    <row r="110" ht="12.0" customHeight="1"/>
    <row r="111" ht="12.0" customHeight="1"/>
    <row r="112" ht="12.0" customHeight="1"/>
    <row r="113" ht="12.0" customHeight="1"/>
    <row r="114" ht="12.0" customHeight="1"/>
    <row r="115" ht="12.0" customHeight="1"/>
    <row r="116" ht="12.0" customHeight="1"/>
    <row r="117" ht="12.0" customHeight="1"/>
    <row r="118" ht="12.0" customHeight="1"/>
    <row r="119" ht="12.0" customHeight="1"/>
    <row r="120" ht="12.0" customHeight="1"/>
    <row r="121" ht="12.0" customHeight="1"/>
    <row r="122" ht="12.0" customHeight="1"/>
    <row r="123" ht="12.0" customHeight="1"/>
    <row r="124" ht="12.0" customHeight="1"/>
    <row r="125" ht="12.0" customHeight="1"/>
    <row r="126" ht="12.0" customHeight="1"/>
    <row r="127" ht="12.0" customHeight="1"/>
    <row r="128" ht="12.0" customHeight="1"/>
    <row r="129" ht="12.0" customHeight="1"/>
    <row r="130" ht="12.0" customHeight="1"/>
    <row r="131" ht="12.0" customHeight="1"/>
    <row r="132" ht="12.0" customHeight="1"/>
    <row r="133" ht="12.0" customHeight="1"/>
    <row r="134" ht="12.0" customHeight="1"/>
    <row r="135" ht="12.0" customHeight="1"/>
    <row r="136" ht="12.0" customHeight="1"/>
    <row r="137" ht="12.0" customHeight="1"/>
    <row r="138" ht="12.0" customHeight="1"/>
    <row r="139" ht="12.0" customHeight="1"/>
    <row r="140" ht="12.0" customHeight="1"/>
    <row r="141" ht="12.0" customHeight="1"/>
    <row r="142" ht="12.0" customHeight="1"/>
    <row r="143" ht="12.0" customHeight="1"/>
    <row r="144" ht="12.0" customHeight="1"/>
    <row r="145" ht="12.0" customHeight="1"/>
    <row r="146" ht="12.0" customHeight="1"/>
    <row r="147" ht="12.0" customHeight="1"/>
    <row r="148" ht="12.0" customHeight="1"/>
    <row r="149" ht="12.0" customHeight="1"/>
    <row r="150" ht="12.0" customHeight="1"/>
    <row r="151" ht="12.0" customHeight="1"/>
    <row r="152" ht="12.0" customHeight="1"/>
    <row r="153" ht="12.0" customHeight="1"/>
    <row r="154" ht="12.0" customHeight="1"/>
    <row r="155" ht="12.0" customHeight="1"/>
    <row r="156" ht="12.0" customHeight="1"/>
    <row r="157" ht="12.0" customHeight="1"/>
    <row r="158" ht="12.0" customHeight="1"/>
    <row r="159" ht="12.0" customHeight="1"/>
    <row r="160" ht="12.0" customHeight="1"/>
    <row r="161" ht="12.0" customHeight="1"/>
    <row r="162" ht="12.0" customHeight="1"/>
    <row r="163" ht="12.0" customHeight="1"/>
    <row r="164" ht="12.0" customHeight="1"/>
    <row r="165" ht="12.0" customHeight="1"/>
    <row r="166" ht="12.0" customHeight="1"/>
    <row r="167" ht="12.0" customHeight="1"/>
    <row r="168" ht="12.0" customHeight="1"/>
    <row r="169" ht="12.0" customHeight="1"/>
    <row r="170" ht="12.0" customHeight="1"/>
    <row r="171" ht="12.0" customHeight="1"/>
    <row r="172" ht="12.0" customHeight="1"/>
    <row r="173" ht="12.0" customHeight="1"/>
    <row r="174" ht="12.0" customHeight="1"/>
    <row r="175" ht="12.0" customHeight="1"/>
    <row r="176" ht="12.0" customHeight="1"/>
    <row r="177" ht="12.0" customHeight="1"/>
    <row r="178" ht="12.0" customHeight="1"/>
    <row r="179" ht="12.0" customHeight="1"/>
    <row r="180" ht="12.0" customHeight="1"/>
    <row r="181" ht="12.0" customHeight="1"/>
    <row r="182" ht="12.0" customHeight="1"/>
    <row r="183" ht="12.0" customHeight="1"/>
    <row r="184" ht="12.0" customHeight="1"/>
    <row r="185" ht="12.0" customHeight="1"/>
    <row r="186" ht="12.0" customHeight="1"/>
    <row r="187" ht="12.0" customHeight="1"/>
    <row r="188" ht="12.0" customHeight="1"/>
    <row r="189" ht="12.0" customHeight="1"/>
    <row r="190" ht="12.0" customHeight="1"/>
    <row r="191" ht="12.0" customHeight="1"/>
    <row r="192" ht="12.0" customHeight="1"/>
    <row r="193" ht="12.0" customHeight="1"/>
    <row r="194" ht="12.0" customHeight="1"/>
    <row r="195" ht="12.0" customHeight="1"/>
    <row r="196" ht="12.0" customHeight="1"/>
    <row r="197" ht="12.0" customHeight="1"/>
    <row r="198" ht="12.0" customHeight="1"/>
    <row r="199" ht="12.0" customHeight="1"/>
    <row r="200" ht="12.0" customHeight="1"/>
    <row r="201" ht="12.0" customHeight="1"/>
    <row r="202" ht="12.0" customHeight="1"/>
    <row r="203" ht="12.0" customHeight="1"/>
    <row r="204" ht="12.0" customHeight="1"/>
    <row r="205" ht="12.0" customHeight="1"/>
    <row r="206" ht="12.0" customHeight="1"/>
    <row r="207" ht="12.0" customHeight="1"/>
    <row r="208" ht="12.0" customHeight="1"/>
    <row r="209" ht="12.0" customHeight="1"/>
    <row r="210" ht="12.0" customHeight="1"/>
    <row r="211" ht="12.0" customHeight="1"/>
    <row r="212" ht="12.0" customHeight="1"/>
    <row r="213" ht="12.0" customHeight="1"/>
    <row r="214" ht="12.0" customHeight="1"/>
    <row r="215" ht="12.0" customHeight="1"/>
    <row r="216" ht="12.0" customHeight="1"/>
    <row r="217" ht="12.0" customHeight="1"/>
    <row r="218" ht="12.0" customHeight="1"/>
    <row r="219" ht="12.0" customHeight="1"/>
    <row r="220" ht="12.0" customHeight="1"/>
    <row r="221" ht="12.0" customHeight="1"/>
    <row r="222" ht="12.0" customHeight="1"/>
    <row r="223" ht="12.0" customHeight="1"/>
    <row r="224" ht="12.0" customHeight="1"/>
    <row r="225" ht="12.0" customHeight="1"/>
    <row r="226" ht="12.0" customHeight="1"/>
    <row r="227" ht="12.0" customHeight="1"/>
    <row r="228" ht="12.0" customHeight="1"/>
    <row r="229" ht="12.0" customHeight="1"/>
    <row r="230" ht="12.0" customHeight="1"/>
    <row r="231" ht="12.0" customHeight="1"/>
    <row r="232" ht="12.0" customHeight="1"/>
    <row r="233" ht="12.0" customHeight="1"/>
    <row r="234" ht="12.0" customHeight="1"/>
    <row r="235" ht="12.0" customHeight="1"/>
    <row r="236" ht="12.0" customHeight="1"/>
    <row r="237" ht="12.0" customHeight="1"/>
    <row r="238" ht="12.0" customHeight="1"/>
    <row r="239" ht="12.0" customHeight="1"/>
    <row r="240" ht="12.0" customHeight="1"/>
    <row r="241" ht="12.0" customHeight="1"/>
    <row r="242" ht="12.0" customHeight="1"/>
    <row r="243" ht="12.0" customHeight="1"/>
    <row r="244" ht="12.0" customHeight="1"/>
    <row r="245" ht="12.0" customHeight="1"/>
    <row r="246" ht="12.0" customHeight="1"/>
    <row r="247" ht="12.0" customHeight="1"/>
    <row r="248" ht="12.0" customHeight="1"/>
    <row r="249" ht="12.0" customHeight="1"/>
    <row r="250" ht="12.0" customHeight="1"/>
    <row r="251" ht="12.0" customHeight="1"/>
    <row r="252" ht="12.0" customHeight="1"/>
    <row r="253" ht="12.0" customHeight="1"/>
    <row r="254" ht="12.0" customHeight="1"/>
    <row r="255" ht="12.0" customHeight="1"/>
    <row r="256" ht="12.0" customHeight="1"/>
    <row r="257" ht="12.0" customHeight="1"/>
    <row r="258" ht="12.0" customHeight="1"/>
    <row r="259" ht="12.0" customHeight="1"/>
    <row r="260" ht="12.0" customHeight="1"/>
    <row r="261" ht="12.0" customHeight="1"/>
    <row r="262" ht="12.0" customHeight="1"/>
    <row r="263" ht="12.0" customHeight="1"/>
    <row r="264" ht="12.0" customHeight="1"/>
    <row r="265" ht="12.0" customHeight="1"/>
    <row r="266" ht="12.0" customHeight="1"/>
    <row r="267" ht="12.0" customHeight="1"/>
    <row r="268" ht="12.0" customHeight="1"/>
    <row r="269" ht="12.0" customHeight="1"/>
    <row r="270" ht="12.0" customHeight="1"/>
    <row r="271" ht="12.0" customHeight="1"/>
    <row r="272" ht="12.0" customHeight="1"/>
    <row r="273" ht="12.0" customHeight="1"/>
    <row r="274" ht="12.0" customHeight="1"/>
    <row r="275" ht="12.0" customHeight="1"/>
    <row r="276" ht="12.0" customHeight="1"/>
    <row r="277" ht="12.0" customHeight="1"/>
    <row r="278" ht="12.0" customHeight="1"/>
    <row r="279" ht="12.0" customHeight="1"/>
    <row r="280" ht="12.0" customHeight="1"/>
    <row r="281" ht="12.0" customHeight="1"/>
    <row r="282" ht="12.0" customHeight="1"/>
    <row r="283" ht="12.0" customHeight="1"/>
    <row r="284" ht="12.0" customHeight="1"/>
    <row r="285" ht="12.0" customHeight="1"/>
    <row r="286" ht="12.0" customHeight="1"/>
    <row r="287" ht="12.0" customHeight="1"/>
    <row r="288" ht="12.0" customHeight="1"/>
    <row r="289" ht="12.0" customHeight="1"/>
    <row r="290" ht="12.0" customHeight="1"/>
    <row r="291" ht="12.0" customHeight="1"/>
    <row r="292" ht="12.0" customHeight="1"/>
    <row r="293" ht="12.0" customHeight="1"/>
    <row r="294" ht="12.0" customHeight="1"/>
    <row r="295" ht="12.0" customHeight="1"/>
    <row r="296" ht="12.0" customHeight="1"/>
    <row r="297" ht="12.0" customHeight="1"/>
    <row r="298" ht="12.0" customHeight="1"/>
    <row r="299" ht="12.0" customHeight="1"/>
    <row r="300" ht="12.0" customHeight="1"/>
    <row r="301" ht="12.0" customHeight="1"/>
    <row r="302" ht="12.0" customHeight="1"/>
    <row r="303" ht="12.0" customHeight="1"/>
    <row r="304" ht="12.0" customHeight="1"/>
    <row r="305" ht="12.0" customHeight="1"/>
    <row r="306" ht="12.0" customHeight="1"/>
    <row r="307" ht="12.0" customHeight="1"/>
    <row r="308" ht="12.0" customHeight="1"/>
    <row r="309" ht="12.0" customHeight="1"/>
    <row r="310" ht="12.0" customHeight="1"/>
    <row r="311" ht="12.0" customHeight="1"/>
    <row r="312" ht="12.0" customHeight="1"/>
    <row r="313" ht="12.0" customHeight="1"/>
    <row r="314" ht="12.0" customHeight="1"/>
    <row r="315" ht="12.0" customHeight="1"/>
    <row r="316" ht="12.0" customHeight="1"/>
    <row r="317" ht="12.0" customHeight="1"/>
    <row r="318" ht="12.0" customHeight="1"/>
    <row r="319" ht="12.0" customHeight="1"/>
    <row r="320" ht="12.0" customHeight="1"/>
    <row r="321" ht="12.0" customHeight="1"/>
    <row r="322" ht="12.0" customHeight="1"/>
    <row r="323" ht="12.0" customHeight="1"/>
    <row r="324" ht="12.0" customHeight="1"/>
    <row r="325" ht="12.0" customHeight="1"/>
    <row r="326" ht="12.0" customHeight="1"/>
    <row r="327" ht="12.0" customHeight="1"/>
    <row r="328" ht="12.0" customHeight="1"/>
    <row r="329" ht="12.0" customHeight="1"/>
    <row r="330" ht="12.0" customHeight="1"/>
    <row r="331" ht="12.0" customHeight="1"/>
    <row r="332" ht="12.0" customHeight="1"/>
    <row r="333" ht="12.0" customHeight="1"/>
    <row r="334" ht="12.0" customHeight="1"/>
    <row r="335" ht="12.0" customHeight="1"/>
    <row r="336" ht="12.0" customHeight="1"/>
    <row r="337" ht="12.0" customHeight="1"/>
    <row r="338" ht="12.0" customHeight="1"/>
    <row r="339" ht="12.0" customHeight="1"/>
    <row r="340" ht="12.0" customHeight="1"/>
    <row r="341" ht="12.0" customHeight="1"/>
    <row r="342" ht="12.0" customHeight="1"/>
    <row r="343" ht="12.0" customHeight="1"/>
    <row r="344" ht="12.0" customHeight="1"/>
    <row r="345" ht="12.0" customHeight="1"/>
    <row r="346" ht="12.0" customHeight="1"/>
    <row r="347" ht="12.0" customHeight="1"/>
    <row r="348" ht="12.0" customHeight="1"/>
    <row r="349" ht="12.0" customHeight="1"/>
    <row r="350" ht="12.0" customHeight="1"/>
    <row r="351" ht="12.0" customHeight="1"/>
    <row r="352" ht="12.0" customHeight="1"/>
    <row r="353" ht="12.0" customHeight="1"/>
    <row r="354" ht="12.0" customHeight="1"/>
    <row r="355" ht="12.0" customHeight="1"/>
    <row r="356" ht="12.0" customHeight="1"/>
    <row r="357" ht="12.0" customHeight="1"/>
    <row r="358" ht="12.0" customHeight="1"/>
    <row r="359" ht="12.0" customHeight="1"/>
    <row r="360" ht="12.0" customHeight="1"/>
    <row r="361" ht="12.0" customHeight="1"/>
    <row r="362" ht="12.0" customHeight="1"/>
    <row r="363" ht="12.0" customHeight="1"/>
    <row r="364" ht="12.0" customHeight="1"/>
    <row r="365" ht="12.0" customHeight="1"/>
    <row r="366" ht="12.0" customHeight="1"/>
    <row r="367" ht="12.0" customHeight="1"/>
    <row r="368" ht="12.0" customHeight="1"/>
    <row r="369" ht="12.0" customHeight="1"/>
    <row r="370" ht="12.0" customHeight="1"/>
    <row r="371" ht="12.0" customHeight="1"/>
    <row r="372" ht="12.0" customHeight="1"/>
    <row r="373" ht="12.0" customHeight="1"/>
    <row r="374" ht="12.0" customHeight="1"/>
    <row r="375" ht="12.0" customHeight="1"/>
    <row r="376" ht="12.0" customHeight="1"/>
    <row r="377" ht="12.0" customHeight="1"/>
    <row r="378" ht="12.0" customHeight="1"/>
    <row r="379" ht="12.0" customHeight="1"/>
    <row r="380" ht="12.0" customHeight="1"/>
    <row r="381" ht="12.0" customHeight="1"/>
    <row r="382" ht="12.0" customHeight="1"/>
    <row r="383" ht="12.0" customHeight="1"/>
    <row r="384" ht="12.0" customHeight="1"/>
    <row r="385" ht="12.0" customHeight="1"/>
    <row r="386" ht="12.0" customHeight="1"/>
    <row r="387" ht="12.0" customHeight="1"/>
    <row r="388" ht="12.0" customHeight="1"/>
    <row r="389" ht="12.0" customHeight="1"/>
    <row r="390" ht="12.0" customHeight="1"/>
    <row r="391" ht="12.0" customHeight="1"/>
    <row r="392" ht="12.0" customHeight="1"/>
    <row r="393" ht="12.0" customHeight="1"/>
    <row r="394" ht="12.0" customHeight="1"/>
    <row r="395" ht="12.0" customHeight="1"/>
    <row r="396" ht="12.0" customHeight="1"/>
    <row r="397" ht="12.0" customHeight="1"/>
    <row r="398" ht="12.0" customHeight="1"/>
    <row r="399" ht="12.0" customHeight="1"/>
    <row r="400" ht="12.0" customHeight="1"/>
    <row r="401" ht="12.0" customHeight="1"/>
    <row r="402" ht="12.0" customHeight="1"/>
    <row r="403" ht="12.0" customHeight="1"/>
    <row r="404" ht="12.0" customHeight="1"/>
    <row r="405" ht="12.0" customHeight="1"/>
    <row r="406" ht="12.0" customHeight="1"/>
    <row r="407" ht="12.0" customHeight="1"/>
    <row r="408" ht="12.0" customHeight="1"/>
    <row r="409" ht="12.0" customHeight="1"/>
    <row r="410" ht="12.0" customHeight="1"/>
    <row r="411" ht="12.0" customHeight="1"/>
    <row r="412" ht="12.0" customHeight="1"/>
    <row r="413" ht="12.0" customHeight="1"/>
    <row r="414" ht="12.0" customHeight="1"/>
    <row r="415" ht="12.0" customHeight="1"/>
    <row r="416" ht="12.0" customHeight="1"/>
    <row r="417" ht="12.0" customHeight="1"/>
    <row r="418" ht="12.0" customHeight="1"/>
    <row r="419" ht="12.0" customHeight="1"/>
    <row r="420" ht="12.0" customHeight="1"/>
    <row r="421" ht="12.0" customHeight="1"/>
    <row r="422" ht="12.0" customHeight="1"/>
    <row r="423" ht="12.0" customHeight="1"/>
    <row r="424" ht="12.0" customHeight="1"/>
    <row r="425" ht="12.0" customHeight="1"/>
    <row r="426" ht="12.0" customHeight="1"/>
    <row r="427" ht="12.0" customHeight="1"/>
    <row r="428" ht="12.0" customHeight="1"/>
    <row r="429" ht="12.0" customHeight="1"/>
    <row r="430" ht="12.0" customHeight="1"/>
    <row r="431" ht="12.0" customHeight="1"/>
    <row r="432" ht="12.0" customHeight="1"/>
    <row r="433" ht="12.0" customHeight="1"/>
    <row r="434" ht="12.0" customHeight="1"/>
    <row r="435" ht="12.0" customHeight="1"/>
    <row r="436" ht="12.0" customHeight="1"/>
    <row r="437" ht="12.0" customHeight="1"/>
    <row r="438" ht="12.0" customHeight="1"/>
    <row r="439" ht="12.0" customHeight="1"/>
    <row r="440" ht="12.0" customHeight="1"/>
    <row r="441" ht="12.0" customHeight="1"/>
    <row r="442" ht="12.0" customHeight="1"/>
    <row r="443" ht="12.0" customHeight="1"/>
    <row r="444" ht="12.0" customHeight="1"/>
    <row r="445" ht="12.0" customHeight="1"/>
    <row r="446" ht="12.0" customHeight="1"/>
    <row r="447" ht="12.0" customHeight="1"/>
    <row r="448" ht="12.0" customHeight="1"/>
    <row r="449" ht="12.0" customHeight="1"/>
    <row r="450" ht="12.0" customHeight="1"/>
    <row r="451" ht="12.0" customHeight="1"/>
    <row r="452" ht="12.0" customHeight="1"/>
    <row r="453" ht="12.0" customHeight="1"/>
    <row r="454" ht="12.0" customHeight="1"/>
    <row r="455" ht="12.0" customHeight="1"/>
    <row r="456" ht="12.0" customHeight="1"/>
    <row r="457" ht="12.0" customHeight="1"/>
    <row r="458" ht="12.0" customHeight="1"/>
    <row r="459" ht="12.0" customHeight="1"/>
    <row r="460" ht="12.0" customHeight="1"/>
    <row r="461" ht="12.0" customHeight="1"/>
    <row r="462" ht="12.0" customHeight="1"/>
    <row r="463" ht="12.0" customHeight="1"/>
    <row r="464" ht="12.0" customHeight="1"/>
    <row r="465" ht="12.0" customHeight="1"/>
    <row r="466" ht="12.0" customHeight="1"/>
    <row r="467" ht="12.0" customHeight="1"/>
    <row r="468" ht="12.0" customHeight="1"/>
    <row r="469" ht="12.0" customHeight="1"/>
    <row r="470" ht="12.0" customHeight="1"/>
    <row r="471" ht="12.0" customHeight="1"/>
    <row r="472" ht="12.0" customHeight="1"/>
    <row r="473" ht="12.0" customHeight="1"/>
    <row r="474" ht="12.0" customHeight="1"/>
    <row r="475" ht="12.0" customHeight="1"/>
    <row r="476" ht="12.0" customHeight="1"/>
    <row r="477" ht="12.0" customHeight="1"/>
    <row r="478" ht="12.0" customHeight="1"/>
    <row r="479" ht="12.0" customHeight="1"/>
    <row r="480" ht="12.0" customHeight="1"/>
    <row r="481" ht="12.0" customHeight="1"/>
    <row r="482" ht="12.0" customHeight="1"/>
    <row r="483" ht="12.0" customHeight="1"/>
    <row r="484" ht="12.0" customHeight="1"/>
    <row r="485" ht="12.0" customHeight="1"/>
    <row r="486" ht="12.0" customHeight="1"/>
    <row r="487" ht="12.0" customHeight="1"/>
    <row r="488" ht="12.0" customHeight="1"/>
    <row r="489" ht="12.0" customHeight="1"/>
    <row r="490" ht="12.0" customHeight="1"/>
    <row r="491" ht="12.0" customHeight="1"/>
    <row r="492" ht="12.0" customHeight="1"/>
    <row r="493" ht="12.0" customHeight="1"/>
    <row r="494" ht="12.0" customHeight="1"/>
    <row r="495" ht="12.0" customHeight="1"/>
    <row r="496" ht="12.0" customHeight="1"/>
    <row r="497" ht="12.0" customHeight="1"/>
    <row r="498" ht="12.0" customHeight="1"/>
    <row r="499" ht="12.0" customHeight="1"/>
    <row r="500" ht="12.0" customHeight="1"/>
    <row r="501" ht="12.0" customHeight="1"/>
    <row r="502" ht="12.0" customHeight="1"/>
    <row r="503" ht="12.0" customHeight="1"/>
    <row r="504" ht="12.0" customHeight="1"/>
    <row r="505" ht="12.0" customHeight="1"/>
    <row r="506" ht="12.0" customHeight="1"/>
    <row r="507" ht="12.0" customHeight="1"/>
    <row r="508" ht="12.0" customHeight="1"/>
    <row r="509" ht="12.0" customHeight="1"/>
    <row r="510" ht="12.0" customHeight="1"/>
    <row r="511" ht="12.0" customHeight="1"/>
    <row r="512" ht="12.0" customHeight="1"/>
    <row r="513" ht="12.0" customHeight="1"/>
    <row r="514" ht="12.0" customHeight="1"/>
    <row r="515" ht="12.0" customHeight="1"/>
    <row r="516" ht="12.0" customHeight="1"/>
    <row r="517" ht="12.0" customHeight="1"/>
    <row r="518" ht="12.0" customHeight="1"/>
    <row r="519" ht="12.0" customHeight="1"/>
    <row r="520" ht="12.0" customHeight="1"/>
    <row r="521" ht="12.0" customHeight="1"/>
    <row r="522" ht="12.0" customHeight="1"/>
    <row r="523" ht="12.0" customHeight="1"/>
    <row r="524" ht="12.0" customHeight="1"/>
    <row r="525" ht="12.0" customHeight="1"/>
    <row r="526" ht="12.0" customHeight="1"/>
    <row r="527" ht="12.0" customHeight="1"/>
    <row r="528" ht="12.0" customHeight="1"/>
    <row r="529" ht="12.0" customHeight="1"/>
    <row r="530" ht="12.0" customHeight="1"/>
    <row r="531" ht="12.0" customHeight="1"/>
    <row r="532" ht="12.0" customHeight="1"/>
    <row r="533" ht="12.0" customHeight="1"/>
    <row r="534" ht="12.0" customHeight="1"/>
    <row r="535" ht="12.0" customHeight="1"/>
    <row r="536" ht="12.0" customHeight="1"/>
    <row r="537" ht="12.0" customHeight="1"/>
    <row r="538" ht="12.0" customHeight="1"/>
    <row r="539" ht="12.0" customHeight="1"/>
    <row r="540" ht="12.0" customHeight="1"/>
    <row r="541" ht="12.0" customHeight="1"/>
    <row r="542" ht="12.0" customHeight="1"/>
    <row r="543" ht="12.0" customHeight="1"/>
    <row r="544" ht="12.0" customHeight="1"/>
    <row r="545" ht="12.0" customHeight="1"/>
    <row r="546" ht="12.0" customHeight="1"/>
    <row r="547" ht="12.0" customHeight="1"/>
    <row r="548" ht="12.0" customHeight="1"/>
    <row r="549" ht="12.0" customHeight="1"/>
    <row r="550" ht="12.0" customHeight="1"/>
    <row r="551" ht="12.0" customHeight="1"/>
    <row r="552" ht="12.0" customHeight="1"/>
    <row r="553" ht="12.0" customHeight="1"/>
    <row r="554" ht="12.0" customHeight="1"/>
    <row r="555" ht="12.0" customHeight="1"/>
    <row r="556" ht="12.0" customHeight="1"/>
    <row r="557" ht="12.0" customHeight="1"/>
    <row r="558" ht="12.0" customHeight="1"/>
    <row r="559" ht="12.0" customHeight="1"/>
    <row r="560" ht="12.0" customHeight="1"/>
    <row r="561" ht="12.0" customHeight="1"/>
    <row r="562" ht="12.0" customHeight="1"/>
    <row r="563" ht="12.0" customHeight="1"/>
    <row r="564" ht="12.0" customHeight="1"/>
    <row r="565" ht="12.0" customHeight="1"/>
    <row r="566" ht="12.0" customHeight="1"/>
    <row r="567" ht="12.0" customHeight="1"/>
    <row r="568" ht="12.0" customHeight="1"/>
    <row r="569" ht="12.0" customHeight="1"/>
    <row r="570" ht="12.0" customHeight="1"/>
    <row r="571" ht="12.0" customHeight="1"/>
    <row r="572" ht="12.0" customHeight="1"/>
    <row r="573" ht="12.0" customHeight="1"/>
    <row r="574" ht="12.0" customHeight="1"/>
    <row r="575" ht="12.0" customHeight="1"/>
    <row r="576" ht="12.0" customHeight="1"/>
    <row r="577" ht="12.0" customHeight="1"/>
    <row r="578" ht="12.0" customHeight="1"/>
    <row r="579" ht="12.0" customHeight="1"/>
    <row r="580" ht="12.0" customHeight="1"/>
    <row r="581" ht="12.0" customHeight="1"/>
    <row r="582" ht="12.0" customHeight="1"/>
    <row r="583" ht="12.0" customHeight="1"/>
    <row r="584" ht="12.0" customHeight="1"/>
    <row r="585" ht="12.0" customHeight="1"/>
    <row r="586" ht="12.0" customHeight="1"/>
    <row r="587" ht="12.0" customHeight="1"/>
    <row r="588" ht="12.0" customHeight="1"/>
    <row r="589" ht="12.0" customHeight="1"/>
    <row r="590" ht="12.0" customHeight="1"/>
    <row r="591" ht="12.0" customHeight="1"/>
    <row r="592" ht="12.0" customHeight="1"/>
    <row r="593" ht="12.0" customHeight="1"/>
    <row r="594" ht="12.0" customHeight="1"/>
    <row r="595" ht="12.0" customHeight="1"/>
    <row r="596" ht="12.0" customHeight="1"/>
    <row r="597" ht="12.0" customHeight="1"/>
    <row r="598" ht="12.0" customHeight="1"/>
    <row r="599" ht="12.0" customHeight="1"/>
    <row r="600" ht="12.0" customHeight="1"/>
    <row r="601" ht="12.0" customHeight="1"/>
    <row r="602" ht="12.0" customHeight="1"/>
    <row r="603" ht="12.0" customHeight="1"/>
    <row r="604" ht="12.0" customHeight="1"/>
    <row r="605" ht="12.0" customHeight="1"/>
    <row r="606" ht="12.0" customHeight="1"/>
    <row r="607" ht="12.0" customHeight="1"/>
    <row r="608" ht="12.0" customHeight="1"/>
    <row r="609" ht="12.0" customHeight="1"/>
    <row r="610" ht="12.0" customHeight="1"/>
    <row r="611" ht="12.0" customHeight="1"/>
    <row r="612" ht="12.0" customHeight="1"/>
    <row r="613" ht="12.0" customHeight="1"/>
    <row r="614" ht="12.0" customHeight="1"/>
    <row r="615" ht="12.0" customHeight="1"/>
    <row r="616" ht="12.0" customHeight="1"/>
    <row r="617" ht="12.0" customHeight="1"/>
    <row r="618" ht="12.0" customHeight="1"/>
    <row r="619" ht="12.0" customHeight="1"/>
    <row r="620" ht="12.0" customHeight="1"/>
    <row r="621" ht="12.0" customHeight="1"/>
    <row r="622" ht="12.0" customHeight="1"/>
    <row r="623" ht="12.0" customHeight="1"/>
    <row r="624" ht="12.0" customHeight="1"/>
    <row r="625" ht="12.0" customHeight="1"/>
    <row r="626" ht="12.0" customHeight="1"/>
    <row r="627" ht="12.0" customHeight="1"/>
    <row r="628" ht="12.0" customHeight="1"/>
    <row r="629" ht="12.0" customHeight="1"/>
    <row r="630" ht="12.0" customHeight="1"/>
    <row r="631" ht="12.0" customHeight="1"/>
    <row r="632" ht="12.0" customHeight="1"/>
    <row r="633" ht="12.0" customHeight="1"/>
    <row r="634" ht="12.0" customHeight="1"/>
    <row r="635" ht="12.0" customHeight="1"/>
    <row r="636" ht="12.0" customHeight="1"/>
    <row r="637" ht="12.0" customHeight="1"/>
    <row r="638" ht="12.0" customHeight="1"/>
    <row r="639" ht="12.0" customHeight="1"/>
    <row r="640" ht="12.0" customHeight="1"/>
    <row r="641" ht="12.0" customHeight="1"/>
    <row r="642" ht="12.0" customHeight="1"/>
    <row r="643" ht="12.0" customHeight="1"/>
    <row r="644" ht="12.0" customHeight="1"/>
    <row r="645" ht="12.0" customHeight="1"/>
    <row r="646" ht="12.0" customHeight="1"/>
    <row r="647" ht="12.0" customHeight="1"/>
    <row r="648" ht="12.0" customHeight="1"/>
    <row r="649" ht="12.0" customHeight="1"/>
    <row r="650" ht="12.0" customHeight="1"/>
    <row r="651" ht="12.0" customHeight="1"/>
    <row r="652" ht="12.0" customHeight="1"/>
    <row r="653" ht="12.0" customHeight="1"/>
    <row r="654" ht="12.0" customHeight="1"/>
    <row r="655" ht="12.0" customHeight="1"/>
    <row r="656" ht="12.0" customHeight="1"/>
    <row r="657" ht="12.0" customHeight="1"/>
    <row r="658" ht="12.0" customHeight="1"/>
    <row r="659" ht="12.0" customHeight="1"/>
    <row r="660" ht="12.0" customHeight="1"/>
    <row r="661" ht="12.0" customHeight="1"/>
    <row r="662" ht="12.0" customHeight="1"/>
    <row r="663" ht="12.0" customHeight="1"/>
    <row r="664" ht="12.0" customHeight="1"/>
    <row r="665" ht="12.0" customHeight="1"/>
    <row r="666" ht="12.0" customHeight="1"/>
    <row r="667" ht="12.0" customHeight="1"/>
    <row r="668" ht="12.0" customHeight="1"/>
    <row r="669" ht="12.0" customHeight="1"/>
    <row r="670" ht="12.0" customHeight="1"/>
    <row r="671" ht="12.0" customHeight="1"/>
    <row r="672" ht="12.0" customHeight="1"/>
    <row r="673" ht="12.0" customHeight="1"/>
    <row r="674" ht="12.0" customHeight="1"/>
    <row r="675" ht="12.0" customHeight="1"/>
    <row r="676" ht="12.0" customHeight="1"/>
    <row r="677" ht="12.0" customHeight="1"/>
    <row r="678" ht="12.0" customHeight="1"/>
    <row r="679" ht="12.0" customHeight="1"/>
    <row r="680" ht="12.0" customHeight="1"/>
    <row r="681" ht="12.0" customHeight="1"/>
    <row r="682" ht="12.0" customHeight="1"/>
    <row r="683" ht="12.0" customHeight="1"/>
    <row r="684" ht="12.0" customHeight="1"/>
    <row r="685" ht="12.0" customHeight="1"/>
    <row r="686" ht="12.0" customHeight="1"/>
    <row r="687" ht="12.0" customHeight="1"/>
    <row r="688" ht="12.0" customHeight="1"/>
    <row r="689" ht="12.0" customHeight="1"/>
    <row r="690" ht="12.0" customHeight="1"/>
    <row r="691" ht="12.0" customHeight="1"/>
    <row r="692" ht="12.0" customHeight="1"/>
    <row r="693" ht="12.0" customHeight="1"/>
    <row r="694" ht="12.0" customHeight="1"/>
    <row r="695" ht="12.0" customHeight="1"/>
    <row r="696" ht="12.0" customHeight="1"/>
    <row r="697" ht="12.0" customHeight="1"/>
    <row r="698" ht="12.0" customHeight="1"/>
    <row r="699" ht="12.0" customHeight="1"/>
    <row r="700" ht="12.0" customHeight="1"/>
    <row r="701" ht="12.0" customHeight="1"/>
    <row r="702" ht="12.0" customHeight="1"/>
    <row r="703" ht="12.0" customHeight="1"/>
    <row r="704" ht="12.0" customHeight="1"/>
    <row r="705" ht="12.0" customHeight="1"/>
    <row r="706" ht="12.0" customHeight="1"/>
    <row r="707" ht="12.0" customHeight="1"/>
    <row r="708" ht="12.0" customHeight="1"/>
    <row r="709" ht="12.0" customHeight="1"/>
    <row r="710" ht="12.0" customHeight="1"/>
    <row r="711" ht="12.0" customHeight="1"/>
    <row r="712" ht="12.0" customHeight="1"/>
    <row r="713" ht="12.0" customHeight="1"/>
    <row r="714" ht="12.0" customHeight="1"/>
    <row r="715" ht="12.0" customHeight="1"/>
    <row r="716" ht="12.0" customHeight="1"/>
    <row r="717" ht="12.0" customHeight="1"/>
    <row r="718" ht="12.0" customHeight="1"/>
    <row r="719" ht="12.0" customHeight="1"/>
    <row r="720" ht="12.0" customHeight="1"/>
    <row r="721" ht="12.0" customHeight="1"/>
    <row r="722" ht="12.0" customHeight="1"/>
    <row r="723" ht="12.0" customHeight="1"/>
    <row r="724" ht="12.0" customHeight="1"/>
    <row r="725" ht="12.0" customHeight="1"/>
    <row r="726" ht="12.0" customHeight="1"/>
    <row r="727" ht="12.0" customHeight="1"/>
    <row r="728" ht="12.0" customHeight="1"/>
    <row r="729" ht="12.0" customHeight="1"/>
    <row r="730" ht="12.0" customHeight="1"/>
    <row r="731" ht="12.0" customHeight="1"/>
    <row r="732" ht="12.0" customHeight="1"/>
    <row r="733" ht="12.0" customHeight="1"/>
    <row r="734" ht="12.0" customHeight="1"/>
    <row r="735" ht="12.0" customHeight="1"/>
    <row r="736" ht="12.0" customHeight="1"/>
    <row r="737" ht="12.0" customHeight="1"/>
    <row r="738" ht="12.0" customHeight="1"/>
    <row r="739" ht="12.0" customHeight="1"/>
    <row r="740" ht="12.0" customHeight="1"/>
    <row r="741" ht="12.0" customHeight="1"/>
    <row r="742" ht="12.0" customHeight="1"/>
    <row r="743" ht="12.0" customHeight="1"/>
    <row r="744" ht="12.0" customHeight="1"/>
    <row r="745" ht="12.0" customHeight="1"/>
    <row r="746" ht="12.0" customHeight="1"/>
    <row r="747" ht="12.0" customHeight="1"/>
    <row r="748" ht="12.0" customHeight="1"/>
    <row r="749" ht="12.0" customHeight="1"/>
    <row r="750" ht="12.0" customHeight="1"/>
    <row r="751" ht="12.0" customHeight="1"/>
    <row r="752" ht="12.0" customHeight="1"/>
    <row r="753" ht="12.0" customHeight="1"/>
    <row r="754" ht="12.0" customHeight="1"/>
    <row r="755" ht="12.0" customHeight="1"/>
    <row r="756" ht="12.0" customHeight="1"/>
    <row r="757" ht="12.0" customHeight="1"/>
    <row r="758" ht="12.0" customHeight="1"/>
    <row r="759" ht="12.0" customHeight="1"/>
    <row r="760" ht="12.0" customHeight="1"/>
    <row r="761" ht="12.0" customHeight="1"/>
    <row r="762" ht="12.0" customHeight="1"/>
    <row r="763" ht="12.0" customHeight="1"/>
    <row r="764" ht="12.0" customHeight="1"/>
    <row r="765" ht="12.0" customHeight="1"/>
    <row r="766" ht="12.0" customHeight="1"/>
    <row r="767" ht="12.0" customHeight="1"/>
    <row r="768" ht="12.0" customHeight="1"/>
    <row r="769" ht="12.0" customHeight="1"/>
    <row r="770" ht="12.0" customHeight="1"/>
    <row r="771" ht="12.0" customHeight="1"/>
    <row r="772" ht="12.0" customHeight="1"/>
    <row r="773" ht="12.0" customHeight="1"/>
    <row r="774" ht="12.0" customHeight="1"/>
    <row r="775" ht="12.0" customHeight="1"/>
    <row r="776" ht="12.0" customHeight="1"/>
    <row r="777" ht="12.0" customHeight="1"/>
    <row r="778" ht="12.0" customHeight="1"/>
    <row r="779" ht="12.0" customHeight="1"/>
    <row r="780" ht="12.0" customHeight="1"/>
    <row r="781" ht="12.0" customHeight="1"/>
    <row r="782" ht="12.0" customHeight="1"/>
    <row r="783" ht="12.0" customHeight="1"/>
    <row r="784" ht="12.0" customHeight="1"/>
    <row r="785" ht="12.0" customHeight="1"/>
    <row r="786" ht="12.0" customHeight="1"/>
    <row r="787" ht="12.0" customHeight="1"/>
    <row r="788" ht="12.0" customHeight="1"/>
    <row r="789" ht="12.0" customHeight="1"/>
    <row r="790" ht="12.0" customHeight="1"/>
    <row r="791" ht="12.0" customHeight="1"/>
    <row r="792" ht="12.0" customHeight="1"/>
    <row r="793" ht="12.0" customHeight="1"/>
    <row r="794" ht="12.0" customHeight="1"/>
    <row r="795" ht="12.0" customHeight="1"/>
    <row r="796" ht="12.0" customHeight="1"/>
    <row r="797" ht="12.0" customHeight="1"/>
    <row r="798" ht="12.0" customHeight="1"/>
    <row r="799" ht="12.0" customHeight="1"/>
    <row r="800" ht="12.0" customHeight="1"/>
    <row r="801" ht="12.0" customHeight="1"/>
    <row r="802" ht="12.0" customHeight="1"/>
    <row r="803" ht="12.0" customHeight="1"/>
    <row r="804" ht="12.0" customHeight="1"/>
    <row r="805" ht="12.0" customHeight="1"/>
    <row r="806" ht="12.0" customHeight="1"/>
    <row r="807" ht="12.0" customHeight="1"/>
    <row r="808" ht="12.0" customHeight="1"/>
    <row r="809" ht="12.0" customHeight="1"/>
    <row r="810" ht="12.0" customHeight="1"/>
    <row r="811" ht="12.0" customHeight="1"/>
    <row r="812" ht="12.0" customHeight="1"/>
    <row r="813" ht="12.0" customHeight="1"/>
    <row r="814" ht="12.0" customHeight="1"/>
    <row r="815" ht="12.0" customHeight="1"/>
    <row r="816" ht="12.0" customHeight="1"/>
    <row r="817" ht="12.0" customHeight="1"/>
    <row r="818" ht="12.0" customHeight="1"/>
    <row r="819" ht="12.0" customHeight="1"/>
    <row r="820" ht="12.0" customHeight="1"/>
    <row r="821" ht="12.0" customHeight="1"/>
    <row r="822" ht="12.0" customHeight="1"/>
    <row r="823" ht="12.0" customHeight="1"/>
    <row r="824" ht="12.0" customHeight="1"/>
    <row r="825" ht="12.0" customHeight="1"/>
    <row r="826" ht="12.0" customHeight="1"/>
    <row r="827" ht="12.0" customHeight="1"/>
    <row r="828" ht="12.0" customHeight="1"/>
    <row r="829" ht="12.0" customHeight="1"/>
    <row r="830" ht="12.0" customHeight="1"/>
    <row r="831" ht="12.0" customHeight="1"/>
    <row r="832" ht="12.0" customHeight="1"/>
    <row r="833" ht="12.0" customHeight="1"/>
    <row r="834" ht="12.0" customHeight="1"/>
    <row r="835" ht="12.0" customHeight="1"/>
    <row r="836" ht="12.0" customHeight="1"/>
    <row r="837" ht="12.0" customHeight="1"/>
    <row r="838" ht="12.0" customHeight="1"/>
    <row r="839" ht="12.0" customHeight="1"/>
    <row r="840" ht="12.0" customHeight="1"/>
    <row r="841" ht="12.0" customHeight="1"/>
    <row r="842" ht="12.0" customHeight="1"/>
    <row r="843" ht="12.0" customHeight="1"/>
    <row r="844" ht="12.0" customHeight="1"/>
    <row r="845" ht="12.0" customHeight="1"/>
    <row r="846" ht="12.0" customHeight="1"/>
    <row r="847" ht="12.0" customHeight="1"/>
    <row r="848" ht="12.0" customHeight="1"/>
    <row r="849" ht="12.0" customHeight="1"/>
    <row r="850" ht="12.0" customHeight="1"/>
    <row r="851" ht="12.0" customHeight="1"/>
    <row r="852" ht="12.0" customHeight="1"/>
    <row r="853" ht="12.0" customHeight="1"/>
    <row r="854" ht="12.0" customHeight="1"/>
    <row r="855" ht="12.0" customHeight="1"/>
    <row r="856" ht="12.0" customHeight="1"/>
    <row r="857" ht="12.0" customHeight="1"/>
    <row r="858" ht="12.0" customHeight="1"/>
    <row r="859" ht="12.0" customHeight="1"/>
    <row r="860" ht="12.0" customHeight="1"/>
    <row r="861" ht="12.0" customHeight="1"/>
    <row r="862" ht="12.0" customHeight="1"/>
    <row r="863" ht="12.0" customHeight="1"/>
    <row r="864" ht="12.0" customHeight="1"/>
    <row r="865" ht="12.0" customHeight="1"/>
    <row r="866" ht="12.0" customHeight="1"/>
    <row r="867" ht="12.0" customHeight="1"/>
    <row r="868" ht="12.0" customHeight="1"/>
    <row r="869" ht="12.0" customHeight="1"/>
    <row r="870" ht="12.0" customHeight="1"/>
    <row r="871" ht="12.0" customHeight="1"/>
    <row r="872" ht="12.0" customHeight="1"/>
    <row r="873" ht="12.0" customHeight="1"/>
    <row r="874" ht="12.0" customHeight="1"/>
    <row r="875" ht="12.0" customHeight="1"/>
    <row r="876" ht="12.0" customHeight="1"/>
    <row r="877" ht="12.0" customHeight="1"/>
    <row r="878" ht="12.0" customHeight="1"/>
    <row r="879" ht="12.0" customHeight="1"/>
    <row r="880" ht="12.0" customHeight="1"/>
    <row r="881" ht="12.0" customHeight="1"/>
    <row r="882" ht="12.0" customHeight="1"/>
    <row r="883" ht="12.0" customHeight="1"/>
    <row r="884" ht="12.0" customHeight="1"/>
    <row r="885" ht="12.0" customHeight="1"/>
    <row r="886" ht="12.0" customHeight="1"/>
    <row r="887" ht="12.0" customHeight="1"/>
    <row r="888" ht="12.0" customHeight="1"/>
    <row r="889" ht="12.0" customHeight="1"/>
    <row r="890" ht="12.0" customHeight="1"/>
    <row r="891" ht="12.0" customHeight="1"/>
    <row r="892" ht="12.0" customHeight="1"/>
    <row r="893" ht="12.0" customHeight="1"/>
    <row r="894" ht="12.0" customHeight="1"/>
    <row r="895" ht="12.0" customHeight="1"/>
    <row r="896" ht="12.0" customHeight="1"/>
    <row r="897" ht="12.0" customHeight="1"/>
    <row r="898" ht="12.0" customHeight="1"/>
    <row r="899" ht="12.0" customHeight="1"/>
    <row r="900" ht="12.0" customHeight="1"/>
    <row r="901" ht="12.0" customHeight="1"/>
    <row r="902" ht="12.0" customHeight="1"/>
    <row r="903" ht="12.0" customHeight="1"/>
    <row r="904" ht="12.0" customHeight="1"/>
    <row r="905" ht="12.0" customHeight="1"/>
    <row r="906" ht="12.0" customHeight="1"/>
    <row r="907" ht="12.0" customHeight="1"/>
    <row r="908" ht="12.0" customHeight="1"/>
    <row r="909" ht="12.0" customHeight="1"/>
    <row r="910" ht="12.0" customHeight="1"/>
    <row r="911" ht="12.0" customHeight="1"/>
    <row r="912" ht="12.0" customHeight="1"/>
    <row r="913" ht="12.0" customHeight="1"/>
    <row r="914" ht="12.0" customHeight="1"/>
    <row r="915" ht="12.0" customHeight="1"/>
    <row r="916" ht="12.0" customHeight="1"/>
    <row r="917" ht="12.0" customHeight="1"/>
    <row r="918" ht="12.0" customHeight="1"/>
    <row r="919" ht="12.0" customHeight="1"/>
    <row r="920" ht="12.0" customHeight="1"/>
    <row r="921" ht="12.0" customHeight="1"/>
    <row r="922" ht="12.0" customHeight="1"/>
    <row r="923" ht="12.0" customHeight="1"/>
    <row r="924" ht="12.0" customHeight="1"/>
    <row r="925" ht="12.0" customHeight="1"/>
    <row r="926" ht="12.0" customHeight="1"/>
    <row r="927" ht="12.0" customHeight="1"/>
    <row r="928" ht="12.0" customHeight="1"/>
    <row r="929" ht="12.0" customHeight="1"/>
    <row r="930" ht="12.0" customHeight="1"/>
    <row r="931" ht="12.0" customHeight="1"/>
    <row r="932" ht="12.0" customHeight="1"/>
    <row r="933" ht="12.0" customHeight="1"/>
    <row r="934" ht="12.0" customHeight="1"/>
    <row r="935" ht="12.0" customHeight="1"/>
    <row r="936" ht="12.0" customHeight="1"/>
    <row r="937" ht="12.0" customHeight="1"/>
    <row r="938" ht="12.0" customHeight="1"/>
    <row r="939" ht="12.0" customHeight="1"/>
    <row r="940" ht="12.0" customHeight="1"/>
    <row r="941" ht="12.0" customHeight="1"/>
    <row r="942" ht="12.0" customHeight="1"/>
    <row r="943" ht="12.0" customHeight="1"/>
    <row r="944" ht="12.0" customHeight="1"/>
    <row r="945" ht="12.0" customHeight="1"/>
    <row r="946" ht="12.0" customHeight="1"/>
    <row r="947" ht="12.0" customHeight="1"/>
    <row r="948" ht="12.0" customHeight="1"/>
    <row r="949" ht="12.0" customHeight="1"/>
    <row r="950" ht="12.0" customHeight="1"/>
    <row r="951" ht="12.0" customHeight="1"/>
    <row r="952" ht="12.0" customHeight="1"/>
    <row r="953" ht="12.0" customHeight="1"/>
    <row r="954" ht="12.0" customHeight="1"/>
    <row r="955" ht="12.0" customHeight="1"/>
    <row r="956" ht="12.0" customHeight="1"/>
    <row r="957" ht="12.0" customHeight="1"/>
    <row r="958" ht="12.0" customHeight="1"/>
    <row r="959" ht="12.0" customHeight="1"/>
    <row r="960" ht="12.0" customHeight="1"/>
    <row r="961" ht="12.0" customHeight="1"/>
    <row r="962" ht="12.0" customHeight="1"/>
    <row r="963" ht="12.0" customHeight="1"/>
    <row r="964" ht="12.0" customHeight="1"/>
    <row r="965" ht="12.0" customHeight="1"/>
    <row r="966" ht="12.0" customHeight="1"/>
    <row r="967" ht="12.0" customHeight="1"/>
    <row r="968" ht="12.0" customHeight="1"/>
    <row r="969" ht="12.0" customHeight="1"/>
    <row r="970" ht="12.0" customHeight="1"/>
    <row r="971" ht="12.0" customHeight="1"/>
    <row r="972" ht="12.0" customHeight="1"/>
    <row r="973" ht="12.0" customHeight="1"/>
    <row r="974" ht="12.0" customHeight="1"/>
    <row r="975" ht="12.0" customHeight="1"/>
    <row r="976" ht="12.0" customHeight="1"/>
    <row r="977" ht="12.0" customHeight="1"/>
    <row r="978" ht="12.0" customHeight="1"/>
    <row r="979" ht="12.0" customHeight="1"/>
    <row r="980" ht="12.0" customHeight="1"/>
    <row r="981" ht="12.0" customHeight="1"/>
    <row r="982" ht="12.0" customHeight="1"/>
    <row r="983" ht="12.0" customHeight="1"/>
    <row r="984" ht="12.0" customHeight="1"/>
    <row r="985" ht="12.0" customHeight="1"/>
    <row r="986" ht="12.0" customHeight="1"/>
    <row r="987" ht="12.0" customHeight="1"/>
    <row r="988" ht="12.0" customHeight="1"/>
    <row r="989" ht="12.0" customHeight="1"/>
    <row r="990" ht="12.0" customHeight="1"/>
    <row r="991" ht="12.0" customHeight="1"/>
    <row r="992" ht="12.0" customHeight="1"/>
    <row r="993" ht="12.0" customHeight="1"/>
    <row r="994" ht="12.0" customHeight="1"/>
    <row r="995" ht="12.0" customHeight="1"/>
    <row r="996" ht="12.0" customHeight="1"/>
    <row r="997" ht="12.0" customHeight="1"/>
    <row r="998" ht="12.0" customHeight="1"/>
    <row r="999" ht="12.0" customHeight="1"/>
    <row r="1000" ht="12.0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2007-12-05T08:22:23Z</dcterms:created>
  <dc:creator>ElenaMO</dc:creator>
</cp:coreProperties>
</file>