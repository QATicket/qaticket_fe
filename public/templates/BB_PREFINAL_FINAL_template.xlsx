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port (2)" state="visible" r:id="rId4"/>
    <sheet sheetId="2" name="Measurement sheet" state="visible" r:id="rId5"/>
    <sheet sheetId="3" name="Details of style" state="hidden" r:id="rId6"/>
    <sheet sheetId="4" name="Picture Major Defects " state="visible" r:id="rId7"/>
    <sheet sheetId="5" name="Picture Minor Defects" state="visible" r:id="rId8"/>
    <sheet sheetId="6" name="picture accept" state="visible" r:id="rId9"/>
    <sheet sheetId="7" name="Sheet1" state="visible" r:id="rId10"/>
  </sheets>
  <calcPr calcId="171027"/>
</workbook>
</file>

<file path=xl/sharedStrings.xml><?xml version="1.0" encoding="utf-8"?>
<sst xmlns="http://schemas.openxmlformats.org/spreadsheetml/2006/main" count="316" uniqueCount="197">
  <si>
    <t>CL-F08</t>
  </si>
  <si>
    <t xml:space="preserve">Final Inspection Report                                                                                                                                                                   
BIÊN BẢN KIỂM TRA FINAL</t>
  </si>
  <si>
    <t xml:space="preserve"> </t>
  </si>
  <si>
    <t xml:space="preserve">Loại kiểm tra : </t>
  </si>
  <si>
    <t>Inline</t>
  </si>
  <si>
    <t>Pre-Final</t>
  </si>
  <si>
    <t>Final</t>
  </si>
  <si>
    <t>AQL 2.5</t>
  </si>
  <si>
    <t xml:space="preserve">Customer (KH):  </t>
  </si>
  <si>
    <t xml:space="preserve">PO :  </t>
  </si>
  <si>
    <t xml:space="preserve">Style (mã hàng): </t>
  </si>
  <si>
    <t xml:space="preserve">Date (Ngày) : </t>
  </si>
  <si>
    <t xml:space="preserve">Order Qty (SL) :          </t>
  </si>
  <si>
    <t xml:space="preserve">Sample size (SL mẫu) :       </t>
  </si>
  <si>
    <t xml:space="preserve">Shipment date :
Ngày xuất </t>
  </si>
  <si>
    <t>MDA# :</t>
  </si>
  <si>
    <t xml:space="preserve">Inspector :
Người kiểm tra:   </t>
  </si>
  <si>
    <t>Factory Details</t>
  </si>
  <si>
    <t xml:space="preserve"> Supplier : NHA BE</t>
  </si>
  <si>
    <t xml:space="preserve">Fty Name :  </t>
  </si>
  <si>
    <t>Location :  VIET NAM</t>
  </si>
  <si>
    <t xml:space="preserve">Production status 
Tình trạng SX </t>
  </si>
  <si>
    <t xml:space="preserve">Cutting Qty: 
SL cắt : </t>
  </si>
  <si>
    <t xml:space="preserve">Sewing Qty: 
SL may:</t>
  </si>
  <si>
    <t xml:space="preserve">Pressing Qty:
SL ủi, ập:</t>
  </si>
  <si>
    <t xml:space="preserve">Packing Qty:
SL đóng gói:</t>
  </si>
  <si>
    <t>MATERIALS</t>
  </si>
  <si>
    <t>v</t>
  </si>
  <si>
    <t>X</t>
  </si>
  <si>
    <t>1. Fabric - Vải</t>
  </si>
  <si>
    <t>3. Accesories / Trims - Phụ liệu</t>
  </si>
  <si>
    <t>5. Packing - Đóng gói</t>
  </si>
  <si>
    <t>Fabric Qlty (CL vải chính)</t>
  </si>
  <si>
    <t>Zipper</t>
  </si>
  <si>
    <t>Dây kéo</t>
  </si>
  <si>
    <t>Unit packed - SL đóng</t>
  </si>
  <si>
    <t>Handfeel (Độ cảm nhận)</t>
  </si>
  <si>
    <t>Button/ button hole - Khuy/nút</t>
  </si>
  <si>
    <t>Folding method - Gấp xếp</t>
  </si>
  <si>
    <t xml:space="preserve">Contrast fabric </t>
  </si>
  <si>
    <t>Snap / button - Nút đóng</t>
  </si>
  <si>
    <t>Cardboard size &amp; qlty - CL và size bìa</t>
  </si>
  <si>
    <t>Lining Qlty (CL lót)</t>
  </si>
  <si>
    <t>Rivet - Ri vê</t>
  </si>
  <si>
    <t>Polybag size &amp; qlty - CL và size bao nylon</t>
  </si>
  <si>
    <t>Lining Colour (màu lót)</t>
  </si>
  <si>
    <t>Eyelet</t>
  </si>
  <si>
    <t>Mắt cáo</t>
  </si>
  <si>
    <t>Box size &amp; qlty - CL và size thùng</t>
  </si>
  <si>
    <t>Buckle - Khóa chốt</t>
  </si>
  <si>
    <t>Box end label - Nhãn thùng</t>
  </si>
  <si>
    <t>Piping - Viền</t>
  </si>
  <si>
    <t>Gross weight &lt; 15Kg</t>
  </si>
  <si>
    <t>2. Colours - Màu sắc</t>
  </si>
  <si>
    <t xml:space="preserve">Threads </t>
  </si>
  <si>
    <t>Chỉ</t>
  </si>
  <si>
    <t>Sealing tape - Keo dán thùng</t>
  </si>
  <si>
    <t>Colour as lab dip - So bảng màu</t>
  </si>
  <si>
    <t>Ration pack sticker - Tỷ lệ trên nhãn</t>
  </si>
  <si>
    <t>Matching tones - Tông màu</t>
  </si>
  <si>
    <t>Labels &amp; APPEARANCE</t>
  </si>
  <si>
    <t>Flat Packed - Đóng phẳng</t>
  </si>
  <si>
    <t>Colour fastness - Bền màu</t>
  </si>
  <si>
    <t>Main label - Nhãn chính</t>
  </si>
  <si>
    <t>Hanging goods - Hàng treo</t>
  </si>
  <si>
    <t>Printing - In</t>
  </si>
  <si>
    <t>Size label - Nhãn size</t>
  </si>
  <si>
    <t>Gross weight &lt; 22Kg</t>
  </si>
  <si>
    <t>Embroidery - Thêu</t>
  </si>
  <si>
    <t>Care label - Nhãn care</t>
  </si>
  <si>
    <t>Box hanger - Hàng treo dạng hộp</t>
  </si>
  <si>
    <t>Shade Band - Ánh màu</t>
  </si>
  <si>
    <t>Hang tag - Nhãn treo</t>
  </si>
  <si>
    <t>Price label - Nhãn giá</t>
  </si>
  <si>
    <t>INSPECTION POINTS( Những Điểm Kiểm Tra )</t>
  </si>
  <si>
    <t>OK</t>
  </si>
  <si>
    <t xml:space="preserve">Major
Lỗi nặng</t>
  </si>
  <si>
    <t xml:space="preserve">Minor
Lỗi nhẹ</t>
  </si>
  <si>
    <t>Remarks ( Ghi chú )</t>
  </si>
  <si>
    <t>1. FABRIC DEFECTS / LỖI VẢI</t>
  </si>
  <si>
    <t>A.  Shell - Flaw / Fibre def. / Hole.  Lớp vỏ - xước / lỗi sợi / lủng lỗ. )</t>
  </si>
  <si>
    <t>B. Linning - Flaw / Fibre def. / Hole.( Lớp lót - Xước /Lỗi sợi / Lủng lỗ.)</t>
  </si>
  <si>
    <t>C .Mismatch of  Stripes. (Canh sọc.)</t>
  </si>
  <si>
    <t>D. Puckers/Creases  ( Nhàu/Nhăn/Nếp gấp )</t>
  </si>
  <si>
    <t>E. Shading (Loang màu.)</t>
  </si>
  <si>
    <t>F. Others (Các lỗi khác)</t>
  </si>
  <si>
    <t>2. CONSTRUCTION&amp; STITCHING/LỖI KẾT CẤU &amp; Đ.MAY</t>
  </si>
  <si>
    <t>A. Run of topstitching  ( Lệch đường may diễu )</t>
  </si>
  <si>
    <t xml:space="preserve">B. Seam twisted/puckered/pleated (Đường may vặn/xoắn/nhăn/xếp ly) </t>
  </si>
  <si>
    <t>C. Skip/Broken stitches   ( Bỏ mũi/Đứt chỉ )</t>
  </si>
  <si>
    <t>D.  Tight / Loose tension  (Đường may căng / lỏng chỉ.)</t>
  </si>
  <si>
    <t>E. Seam not straight  (Đ.may không thẳng )</t>
  </si>
  <si>
    <t>F. Stitches per inch/cm  ( Sai số mũi trên 1” hoặc 1 cm.)</t>
  </si>
  <si>
    <t>G. Insecure stitch endings (Lại mũi không đảm bảo.)</t>
  </si>
  <si>
    <t>H .Overlapping stitches (Nối chỉ không trùng )</t>
  </si>
  <si>
    <t>I. Uneven doubleneedle (Diễu 2kim không đều.)</t>
  </si>
  <si>
    <t>J.Needle holes (Lỗ kim )</t>
  </si>
  <si>
    <t>K. Raw edges  / Biên vải (không vắt sổ / không may dấu).</t>
  </si>
  <si>
    <t>L. Balance (pockets, yokes, hems, collarpoints)   Đối xứng (túi, đô, lai, đường viền, cổ...)</t>
  </si>
  <si>
    <t>M. Twisting / torquing (  Vặn / Xoắn (ống, thân .)</t>
  </si>
  <si>
    <t>N. Missing / misplaced or insecure bartack  ( Thiếu bọ / Bọ không chắc / Bọ sai vị trí )</t>
  </si>
  <si>
    <t>O. Button/Buttonhole, snaps, zippers or eyelets: insecure / incorrect / misplaced (Khuy, nút cố định, dây kéo, mắt cáo không chắc chắn / Sai vị trí / Khó mở.)</t>
  </si>
  <si>
    <t>P. Others (Các lỗi khác.)</t>
  </si>
  <si>
    <t xml:space="preserve">3.  ACCESSORIES / PHỤ LIỆU </t>
  </si>
  <si>
    <t>Any label missing / insecure / damaged / incorrect / misplaced (Thiếu nhãn / Gắn nhãn sai / Gắn không chắc chắn / Gắn sai vị trí)</t>
  </si>
  <si>
    <t xml:space="preserve">Button/Buttonhole, snaps, zippers or eyelets:Missing / damaged / inoperable.(Nút / nút cố định, dây kéo , mắt cáo : Thiếu / Không đúng / Hư) </t>
  </si>
  <si>
    <t>Drawcord / Cordlock missing / incorrect length / frayed ends.( Dây luồn / Chốt dây luồn lỗi / Thông số sai)</t>
  </si>
  <si>
    <t>Missing fusing (Lỗi ép keo (vị trí, dộp, màu sắc ...)</t>
  </si>
  <si>
    <t>Others (Các lỗi khác. )</t>
  </si>
  <si>
    <t>4 . PRINT &amp; EMBROIDERY / IN THÊU</t>
  </si>
  <si>
    <t>A.  Print &amp; embroidery defect.(Pucker.) (Các lỗi in, thêu (đứt chỉ, nhăn, ...)</t>
  </si>
  <si>
    <t>B.  Mismach color (Sai màu sắc.)</t>
  </si>
  <si>
    <t>C.  Others (Các lỗi khác.)</t>
  </si>
  <si>
    <t>5.   WASH &amp; FINISHING  /  WASH &amp; HOÀN THÀNH</t>
  </si>
  <si>
    <t>A.  Wash not within standard of tolerance (Độ Wash chưa đạt.)</t>
  </si>
  <si>
    <t>B.   Excessive fraying / pilling.( Xuớc, xù lông.)</t>
  </si>
  <si>
    <t>C.  Handfeel (Độ mền/cứng sau wash.)</t>
  </si>
  <si>
    <t>D.  Shading (Loang màu.)</t>
  </si>
  <si>
    <t>E.   Creased / pleated pressing  (Ủi nhăn, xếp ly)</t>
  </si>
  <si>
    <t>F.   Iron marks (Vết ủi )</t>
  </si>
  <si>
    <t>G.  Poor press (Không ủi )</t>
  </si>
  <si>
    <t>H.  Damp garments (Sản phẩm ẩm ướt)</t>
  </si>
  <si>
    <t>I.   Smelling garments(sản phẩm có mùi)</t>
  </si>
  <si>
    <t>J.   Others (Các lỗi khác )</t>
  </si>
  <si>
    <t>6.   CLEANNESS / VỆ SINH CÔNG NGHIỆP</t>
  </si>
  <si>
    <t>A.  Staples / pins / needles not removed (Kim, ghim bấm, kim gút trên sản phẩm )</t>
  </si>
  <si>
    <t>B.  Spots / Stain / abrasion mark / soil / stamps / stickers (Vết dơ, vết dầu, băng keo, nhãn giấy .trên sản phẩm)</t>
  </si>
  <si>
    <t>C.  Threads not trimmed (Chỉ dư trên sản phẩm)</t>
  </si>
  <si>
    <t>D.  Others (Các lỗi khác)</t>
  </si>
  <si>
    <t>7.   PACKING / ĐÓNG GÓI</t>
  </si>
  <si>
    <t>A.  Incorrect information on polybag (Thông tin trên bao nylon sai.)</t>
  </si>
  <si>
    <t>B.  Incorrect fold  (Gấp xếp không đúng qui cách )</t>
  </si>
  <si>
    <t>C.  Polybag size (Cỡ bao nylon không đúng.)</t>
  </si>
  <si>
    <t>D.  Carton size out of spec (Kích thước thùng Carton không đúng.)</t>
  </si>
  <si>
    <t>E.   Content incorrect (Nội dung ghi trên thùng sai.)</t>
  </si>
  <si>
    <t>F.   Incorrect quantity (Số lượng đóng gói sai)</t>
  </si>
  <si>
    <t>G.  Incorrect color/Size in carton (Phối thùng sai.)</t>
  </si>
  <si>
    <t>H.  Poor carton quality (Chất lượng thùng Carton kém.)</t>
  </si>
  <si>
    <t>I.     Others (Các lỗi khác.)</t>
  </si>
  <si>
    <t>8. MEASUREMENT  /  THÔNG SỐ</t>
  </si>
  <si>
    <t>A.  Out of spec (Ngoài dung sai cho phép.)</t>
  </si>
  <si>
    <t>B.  Others (Các lỗi khác.)</t>
  </si>
  <si>
    <t>Total</t>
  </si>
  <si>
    <t xml:space="preserve">  AQL 2.5, Level 2</t>
  </si>
  <si>
    <t xml:space="preserve">  AQL 1.5, Level 2</t>
  </si>
  <si>
    <t>Qty size</t>
  </si>
  <si>
    <t>Sampling size</t>
  </si>
  <si>
    <t>Major defects 2.5</t>
  </si>
  <si>
    <t>Minor defects 2.5</t>
  </si>
  <si>
    <t>Major defects 1.5</t>
  </si>
  <si>
    <t>Minor defects 1.5</t>
  </si>
  <si>
    <t>accept</t>
  </si>
  <si>
    <t>reject</t>
  </si>
  <si>
    <t>51-90</t>
  </si>
  <si>
    <t>91-150</t>
  </si>
  <si>
    <t>151-280</t>
  </si>
  <si>
    <t>281-500</t>
  </si>
  <si>
    <t>501-1200</t>
  </si>
  <si>
    <t>1201-3,200</t>
  </si>
  <si>
    <t>3,201-10,000</t>
  </si>
  <si>
    <t>10,001-35,000</t>
  </si>
  <si>
    <t>35,001-500,000</t>
  </si>
  <si>
    <t xml:space="preserve">Inspection Result - Kết quả </t>
  </si>
  <si>
    <t>Pass - Đạt :</t>
  </si>
  <si>
    <t>No# of defect allowed - Số lỗi cho phép</t>
  </si>
  <si>
    <t>Rejected - K.đạt:</t>
  </si>
  <si>
    <t>Major</t>
  </si>
  <si>
    <t>Pending - Treo :</t>
  </si>
  <si>
    <t>Minor</t>
  </si>
  <si>
    <t>No# of unit inspected - Số lượng kiểm tra</t>
  </si>
  <si>
    <t xml:space="preserve">Flat Packed  </t>
  </si>
  <si>
    <t>Đóng thùng</t>
  </si>
  <si>
    <t>Hanging Goods</t>
  </si>
  <si>
    <t>Treo</t>
  </si>
  <si>
    <t xml:space="preserve">SEA </t>
  </si>
  <si>
    <t xml:space="preserve">AIR </t>
  </si>
  <si>
    <t>TT.QTCL</t>
  </si>
  <si>
    <t>FACTORY</t>
  </si>
  <si>
    <t xml:space="preserve">  INSPECTOR</t>
  </si>
  <si>
    <t>Measurement sheet</t>
  </si>
  <si>
    <t>Shipment date :</t>
  </si>
  <si>
    <t>Details Description</t>
  </si>
  <si>
    <t>Date :</t>
  </si>
  <si>
    <t>Product - Front</t>
  </si>
  <si>
    <t>Product - Back</t>
  </si>
  <si>
    <t>All colors of  Product</t>
  </si>
  <si>
    <t>Sealer Sample</t>
  </si>
  <si>
    <t>Main label</t>
  </si>
  <si>
    <t xml:space="preserve">Care label - Front </t>
  </si>
  <si>
    <t>Care label - Back</t>
  </si>
  <si>
    <t>Swing ticket</t>
  </si>
  <si>
    <t>Carton stacking</t>
  </si>
  <si>
    <t>Box end label</t>
  </si>
  <si>
    <r>
      <rPr>
        <b/>
        <color rgb="FFDD0806"/>
        <sz val="18"/>
        <rFont val="Times New Roman"/>
      </rPr>
      <t xml:space="preserve">                                                                                                                                                           </t>
    </r>
    <r>
      <rPr>
        <b/>
        <color rgb="FFDD0806"/>
        <sz val="24"/>
        <rFont val="Times New Roman"/>
      </rPr>
      <t xml:space="preserve">  Picture Major Defects</t>
    </r>
  </si>
  <si>
    <t>Defect:</t>
  </si>
  <si>
    <t>`</t>
  </si>
  <si>
    <t>PICTURE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</si>
</sst>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-mmm"/>
    <numFmt numFmtId="165" formatCode="[$-409]d-mmm-yy"/>
  </numFmts>
  <fonts count="33" x14ac:knownFonts="1">
    <font>
      <color theme="1"/>
      <family val="2"/>
      <scheme val="minor"/>
      <sz val="11"/>
      <name val="Calibri"/>
    </font>
    <font>
      <color theme="1"/>
      <sz val="8"/>
      <name val="Arial"/>
    </font>
    <font>
      <b/>
      <color theme="1"/>
      <sz val="10"/>
      <name val="Arial"/>
    </font>
    <font>
      <b/>
      <color theme="1"/>
      <sz val="18"/>
      <name val="Times New Roman"/>
    </font>
    <font/>
    <font>
      <b/>
      <color theme="1"/>
      <sz val="12"/>
      <name val="Times New Roman"/>
    </font>
    <font>
      <color theme="1"/>
      <sz val="12"/>
      <name val="Times New Roman"/>
    </font>
    <font>
      <b/>
      <color theme="1"/>
      <sz val="11"/>
      <name val="Times New Roman"/>
    </font>
    <font>
      <color theme="1"/>
      <sz val="11"/>
      <name val="Times New Roman"/>
    </font>
    <font>
      <b/>
      <color rgb="FF000000"/>
      <sz val="11"/>
      <name val="Times New Roman"/>
    </font>
    <font>
      <color rgb="FF0000D4"/>
      <sz val="12"/>
      <name val="Times New Roman"/>
    </font>
    <font>
      <b/>
      <color rgb="FF0000D4"/>
      <sz val="12"/>
      <name val="Times New Roman"/>
    </font>
    <font>
      <color theme="0"/>
      <sz val="10"/>
      <name val="Arial"/>
    </font>
    <font>
      <color theme="0"/>
      <sz val="12"/>
      <name val="Times New Roman"/>
    </font>
    <font>
      <b/>
      <color rgb="FFC0C0C0"/>
      <sz val="12"/>
      <name val="Times New Roman"/>
    </font>
    <font>
      <color theme="1"/>
      <sz val="11"/>
      <name val="Arial"/>
    </font>
    <font>
      <color rgb="FF006411"/>
      <sz val="24"/>
      <name val="Times New Roman"/>
    </font>
    <font>
      <color theme="1"/>
      <sz val="10"/>
      <name val="Times New Roman"/>
    </font>
    <font>
      <b/>
      <color theme="1"/>
      <sz val="16"/>
      <name val="Times New Roman"/>
    </font>
    <font>
      <color theme="1"/>
      <sz val="16"/>
      <name val="Times New Roman"/>
    </font>
    <font>
      <b/>
      <color rgb="FF993366"/>
      <sz val="18"/>
      <name val="Candara"/>
    </font>
    <font>
      <b/>
      <color theme="1"/>
      <sz val="12"/>
      <name val="Candara"/>
    </font>
    <font>
      <color rgb="FF000000"/>
      <sz val="12"/>
      <name val="Candara"/>
    </font>
    <font>
      <color theme="1"/>
      <sz val="9"/>
      <name val="Candara"/>
    </font>
    <font>
      <color theme="1"/>
      <sz val="10"/>
      <name val="Arial"/>
    </font>
    <font>
      <color theme="1"/>
      <sz val="14"/>
      <name val="Candara"/>
    </font>
    <font>
      <b/>
      <color rgb="FFDD0806"/>
      <sz val="18"/>
      <name val="Times New Roman"/>
    </font>
    <font>
      <color rgb="FF000000"/>
      <sz val="11"/>
      <name val="Times New Roman"/>
    </font>
    <font>
      <color rgb="FF000000"/>
      <sz val="18"/>
      <name val="Times New Roman"/>
    </font>
    <font>
      <color rgb="FF000000"/>
      <sz val="16"/>
      <name val="Times New Roman"/>
    </font>
    <font>
      <b/>
      <color rgb="FF993366"/>
      <sz val="20"/>
      <name val="Times New Roman"/>
    </font>
    <font>
      <b/>
      <color rgb="FFDD0806"/>
      <sz val="16"/>
      <name val="Times New Roman"/>
    </font>
    <font>
      <b/>
      <color rgb="FF99CC00"/>
      <sz val="18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B6DDE8"/>
        <bgColor rgb="FFB6DDE8"/>
      </patternFill>
    </fill>
    <fill>
      <patternFill patternType="solid">
        <fgColor rgb="FFC0C0C0"/>
        <bgColor rgb="FFC0C0C0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14" fontId="7" fillId="4" borderId="10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7" fillId="3" borderId="11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 readingOrder="1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left" vertical="center"/>
    </xf>
    <xf numFmtId="0" fontId="8" fillId="3" borderId="4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4" fillId="0" borderId="14" xfId="0" applyFont="1" applyBorder="1"/>
    <xf numFmtId="0" fontId="8" fillId="2" borderId="0" xfId="0" applyFont="1" applyFill="1" applyAlignment="1">
      <alignment horizontal="center" vertical="center"/>
    </xf>
    <xf numFmtId="0" fontId="8" fillId="3" borderId="15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horizontal="left" vertical="center" shrinkToFit="1"/>
    </xf>
    <xf numFmtId="0" fontId="4" fillId="0" borderId="17" xfId="0" applyFont="1" applyBorder="1"/>
    <xf numFmtId="0" fontId="7" fillId="3" borderId="16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7" fillId="3" borderId="20" xfId="0" applyFont="1" applyFill="1" applyBorder="1" applyAlignment="1">
      <alignment vertical="center"/>
    </xf>
    <xf numFmtId="0" fontId="7" fillId="3" borderId="21" xfId="0" applyFont="1" applyFill="1" applyBorder="1" applyAlignment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vertical="center"/>
    </xf>
    <xf numFmtId="0" fontId="5" fillId="3" borderId="23" xfId="0" applyFont="1" applyFill="1" applyBorder="1" applyAlignment="1">
      <alignment horizontal="left" vertical="center"/>
    </xf>
    <xf numFmtId="0" fontId="4" fillId="0" borderId="24" xfId="0" applyFont="1" applyBorder="1"/>
    <xf numFmtId="0" fontId="4" fillId="0" borderId="25" xfId="0" applyFont="1" applyBorder="1"/>
    <xf numFmtId="0" fontId="5" fillId="3" borderId="26" xfId="0" applyFont="1" applyFill="1" applyBorder="1" applyAlignment="1">
      <alignment vertical="center"/>
    </xf>
    <xf numFmtId="0" fontId="6" fillId="3" borderId="27" xfId="0" applyFont="1" applyFill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26" xfId="0" applyFont="1" applyFill="1" applyBorder="1" applyAlignment="1">
      <alignment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vertical="center"/>
    </xf>
    <xf numFmtId="0" fontId="4" fillId="0" borderId="33" xfId="0" applyFont="1" applyBorder="1"/>
    <xf numFmtId="0" fontId="4" fillId="0" borderId="34" xfId="0" applyFont="1" applyBorder="1"/>
    <xf numFmtId="0" fontId="6" fillId="3" borderId="11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 shrinkToFit="1"/>
    </xf>
    <xf numFmtId="0" fontId="10" fillId="3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43" xfId="0" applyFont="1" applyFill="1" applyBorder="1" applyAlignment="1">
      <alignment vertical="center"/>
    </xf>
    <xf numFmtId="0" fontId="6" fillId="3" borderId="44" xfId="0" applyFont="1" applyFill="1" applyBorder="1" applyAlignment="1">
      <alignment vertical="center"/>
    </xf>
    <xf numFmtId="0" fontId="10" fillId="3" borderId="37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vertical="center"/>
    </xf>
    <xf numFmtId="0" fontId="6" fillId="3" borderId="36" xfId="0" applyFont="1" applyFill="1" applyBorder="1" applyAlignment="1">
      <alignment vertical="center"/>
    </xf>
    <xf numFmtId="0" fontId="6" fillId="3" borderId="37" xfId="0" applyFont="1" applyFill="1" applyBorder="1" applyAlignment="1">
      <alignment vertical="center"/>
    </xf>
    <xf numFmtId="0" fontId="6" fillId="3" borderId="45" xfId="0" applyFont="1" applyFill="1" applyBorder="1" applyAlignment="1">
      <alignment vertical="center"/>
    </xf>
    <xf numFmtId="0" fontId="5" fillId="3" borderId="36" xfId="0" applyFont="1" applyFill="1" applyBorder="1" applyAlignment="1">
      <alignment vertical="center"/>
    </xf>
    <xf numFmtId="0" fontId="6" fillId="3" borderId="46" xfId="0" applyFont="1" applyFill="1" applyBorder="1" applyAlignment="1">
      <alignment vertical="center"/>
    </xf>
    <xf numFmtId="0" fontId="4" fillId="0" borderId="47" xfId="0" applyFont="1" applyBorder="1"/>
    <xf numFmtId="0" fontId="4" fillId="0" borderId="48" xfId="0" applyFont="1" applyBorder="1"/>
    <xf numFmtId="0" fontId="5" fillId="5" borderId="49" xfId="0" applyFont="1" applyFill="1" applyBorder="1" applyAlignment="1">
      <alignment horizontal="center" vertical="center" wrapText="1"/>
    </xf>
    <xf numFmtId="0" fontId="4" fillId="0" borderId="50" xfId="0" applyFont="1" applyBorder="1"/>
    <xf numFmtId="0" fontId="4" fillId="0" borderId="51" xfId="0" applyFont="1" applyBorder="1"/>
    <xf numFmtId="0" fontId="5" fillId="5" borderId="52" xfId="0" applyFont="1" applyFill="1" applyBorder="1" applyAlignment="1">
      <alignment horizontal="center" vertical="center"/>
    </xf>
    <xf numFmtId="1" fontId="5" fillId="5" borderId="52" xfId="0" applyNumberFormat="1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/>
    </xf>
    <xf numFmtId="0" fontId="4" fillId="0" borderId="54" xfId="0" applyFont="1" applyBorder="1"/>
    <xf numFmtId="0" fontId="5" fillId="6" borderId="1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1" fontId="5" fillId="0" borderId="4" xfId="0" applyNumberFormat="1" applyFont="1" applyBorder="1"/>
    <xf numFmtId="1" fontId="6" fillId="2" borderId="4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6" fillId="0" borderId="4" xfId="0" applyFont="1" applyBorder="1" applyAlignment="1">
      <alignment horizontal="center" wrapText="1"/>
    </xf>
    <xf numFmtId="1" fontId="6" fillId="0" borderId="4" xfId="0" applyNumberFormat="1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1" fontId="5" fillId="0" borderId="4" xfId="0" applyNumberFormat="1" applyFont="1" applyBorder="1" applyAlignment="1">
      <alignment wrapText="1"/>
    </xf>
    <xf numFmtId="0" fontId="6" fillId="2" borderId="55" xfId="0" applyFont="1" applyFill="1" applyBorder="1" applyAlignment="1">
      <alignment vertical="center"/>
    </xf>
    <xf numFmtId="1" fontId="6" fillId="0" borderId="4" xfId="0" applyNumberFormat="1" applyFont="1" applyBorder="1"/>
    <xf numFmtId="1" fontId="5" fillId="2" borderId="4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6" borderId="11" xfId="0" applyFont="1" applyFill="1" applyBorder="1" applyAlignment="1">
      <alignment horizontal="left" vertical="center" shrinkToFi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wrapText="1"/>
    </xf>
    <xf numFmtId="1" fontId="6" fillId="0" borderId="4" xfId="0" applyNumberFormat="1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56" xfId="0" applyFont="1" applyBorder="1" applyAlignment="1">
      <alignment horizontal="left"/>
    </xf>
    <xf numFmtId="0" fontId="4" fillId="0" borderId="57" xfId="0" applyFont="1" applyBorder="1"/>
    <xf numFmtId="0" fontId="5" fillId="0" borderId="18" xfId="0" applyFont="1" applyBorder="1" applyAlignment="1">
      <alignment horizontal="center" wrapText="1"/>
    </xf>
    <xf numFmtId="1" fontId="5" fillId="0" borderId="18" xfId="0" applyNumberFormat="1" applyFont="1" applyBorder="1"/>
    <xf numFmtId="1" fontId="6" fillId="2" borderId="18" xfId="0" applyNumberFormat="1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0" fontId="4" fillId="0" borderId="58" xfId="0" applyFont="1" applyBorder="1"/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1" fontId="5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4" fillId="0" borderId="0" xfId="0" applyFont="1"/>
    <xf numFmtId="0" fontId="11" fillId="7" borderId="32" xfId="0" applyFont="1" applyFill="1" applyBorder="1" applyAlignment="1">
      <alignment horizontal="center" vertical="center"/>
    </xf>
    <xf numFmtId="0" fontId="4" fillId="0" borderId="59" xfId="0" applyFont="1" applyBorder="1"/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right" wrapText="1"/>
    </xf>
    <xf numFmtId="0" fontId="13" fillId="2" borderId="0" xfId="0" applyFont="1" applyFill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5" fillId="8" borderId="11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/>
    </xf>
    <xf numFmtId="0" fontId="5" fillId="3" borderId="56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6" fillId="0" borderId="21" xfId="0" applyFont="1" applyBorder="1" applyAlignment="1">
      <alignment horizontal="left" vertical="center"/>
    </xf>
    <xf numFmtId="0" fontId="4" fillId="0" borderId="21" xfId="0" applyFont="1" applyBorder="1"/>
    <xf numFmtId="0" fontId="17" fillId="0" borderId="0" xfId="0" applyFont="1"/>
    <xf numFmtId="0" fontId="18" fillId="3" borderId="32" xfId="0" applyFont="1" applyFill="1" applyBorder="1" applyAlignment="1">
      <alignment vertical="center"/>
    </xf>
    <xf numFmtId="0" fontId="18" fillId="3" borderId="33" xfId="0" applyFont="1" applyFill="1" applyBorder="1" applyAlignment="1">
      <alignment vertical="center"/>
    </xf>
    <xf numFmtId="0" fontId="18" fillId="3" borderId="33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vertical="center"/>
    </xf>
    <xf numFmtId="0" fontId="18" fillId="3" borderId="60" xfId="0" applyFont="1" applyFill="1" applyBorder="1" applyAlignment="1">
      <alignment vertical="center"/>
    </xf>
    <xf numFmtId="0" fontId="18" fillId="3" borderId="56" xfId="0" applyFont="1" applyFill="1" applyBorder="1" applyAlignment="1">
      <alignment vertical="center"/>
    </xf>
    <xf numFmtId="0" fontId="18" fillId="3" borderId="57" xfId="0" applyFont="1" applyFill="1" applyBorder="1" applyAlignment="1">
      <alignment vertical="center"/>
    </xf>
    <xf numFmtId="0" fontId="18" fillId="3" borderId="57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vertical="center"/>
    </xf>
    <xf numFmtId="0" fontId="18" fillId="0" borderId="57" xfId="0" applyFont="1" applyBorder="1" applyAlignment="1">
      <alignment vertical="center"/>
    </xf>
    <xf numFmtId="0" fontId="18" fillId="3" borderId="17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/>
    </xf>
    <xf numFmtId="164" fontId="18" fillId="3" borderId="17" xfId="0" applyNumberFormat="1" applyFont="1" applyFill="1" applyBorder="1" applyAlignment="1">
      <alignment horizontal="left" vertical="center"/>
    </xf>
    <xf numFmtId="165" fontId="19" fillId="3" borderId="58" xfId="0" applyNumberFormat="1" applyFont="1" applyFill="1" applyBorder="1" applyAlignment="1">
      <alignment vertical="center"/>
    </xf>
    <xf numFmtId="0" fontId="17" fillId="3" borderId="26" xfId="0" applyFont="1" applyFill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4" fillId="0" borderId="35" xfId="0" applyFont="1" applyBorder="1"/>
    <xf numFmtId="0" fontId="4" fillId="0" borderId="55" xfId="0" applyFont="1" applyBorder="1"/>
    <xf numFmtId="0" fontId="4" fillId="0" borderId="20" xfId="0" applyFont="1" applyBorder="1"/>
    <xf numFmtId="0" fontId="4" fillId="0" borderId="61" xfId="0" applyFont="1" applyBorder="1"/>
    <xf numFmtId="0" fontId="20" fillId="9" borderId="0" xfId="0" applyFont="1" applyFill="1" applyAlignment="1">
      <alignment vertical="center"/>
    </xf>
    <xf numFmtId="0" fontId="21" fillId="9" borderId="32" xfId="0" applyFont="1" applyFill="1" applyBorder="1" applyAlignment="1">
      <alignment horizontal="left" vertical="center"/>
    </xf>
    <xf numFmtId="0" fontId="21" fillId="9" borderId="31" xfId="0" applyFont="1" applyFill="1" applyBorder="1" applyAlignment="1">
      <alignment horizontal="left" vertical="center"/>
    </xf>
    <xf numFmtId="0" fontId="21" fillId="9" borderId="56" xfId="0" applyFont="1" applyFill="1" applyBorder="1" applyAlignment="1">
      <alignment horizontal="left" vertical="center"/>
    </xf>
    <xf numFmtId="0" fontId="21" fillId="9" borderId="16" xfId="0" applyFont="1" applyFill="1" applyBorder="1" applyAlignment="1">
      <alignment horizontal="left" vertical="center"/>
    </xf>
    <xf numFmtId="0" fontId="21" fillId="9" borderId="16" xfId="0" applyFont="1" applyFill="1" applyBorder="1" applyAlignment="1">
      <alignment vertical="center"/>
    </xf>
    <xf numFmtId="0" fontId="21" fillId="9" borderId="57" xfId="0" applyFont="1" applyFill="1" applyBorder="1" applyAlignment="1">
      <alignment vertical="center"/>
    </xf>
    <xf numFmtId="164" fontId="22" fillId="9" borderId="17" xfId="0" applyNumberFormat="1" applyFont="1" applyFill="1" applyBorder="1" applyAlignment="1">
      <alignment horizontal="left" vertical="center"/>
    </xf>
    <xf numFmtId="0" fontId="21" fillId="9" borderId="16" xfId="0" applyFont="1" applyFill="1" applyBorder="1" applyAlignment="1">
      <alignment horizontal="center" vertical="center"/>
    </xf>
    <xf numFmtId="165" fontId="23" fillId="9" borderId="58" xfId="0" applyNumberFormat="1" applyFont="1" applyFill="1" applyBorder="1" applyAlignment="1">
      <alignment vertical="center"/>
    </xf>
    <xf numFmtId="0" fontId="24" fillId="0" borderId="3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23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26" fillId="0" borderId="8" xfId="0" applyFont="1" applyBorder="1" applyAlignment="1">
      <alignment horizontal="left" vertical="center"/>
    </xf>
    <xf numFmtId="0" fontId="4" fillId="0" borderId="8" xfId="0" applyFont="1" applyBorder="1"/>
    <xf numFmtId="0" fontId="27" fillId="0" borderId="0" xfId="0" applyFont="1"/>
    <xf numFmtId="0" fontId="28" fillId="3" borderId="26" xfId="0" applyFont="1" applyFill="1" applyBorder="1" applyAlignment="1">
      <alignment horizontal="center"/>
    </xf>
    <xf numFmtId="0" fontId="4" fillId="0" borderId="62" xfId="0" applyFont="1" applyBorder="1"/>
    <xf numFmtId="0" fontId="28" fillId="3" borderId="60" xfId="0" applyFont="1" applyFill="1" applyBorder="1" applyAlignment="1">
      <alignment horizontal="center"/>
    </xf>
    <xf numFmtId="0" fontId="4" fillId="0" borderId="63" xfId="0" applyFont="1" applyBorder="1"/>
    <xf numFmtId="0" fontId="4" fillId="0" borderId="64" xfId="0" applyFont="1" applyBorder="1"/>
    <xf numFmtId="0" fontId="4" fillId="0" borderId="39" xfId="0" applyFont="1" applyBorder="1"/>
    <xf numFmtId="0" fontId="4" fillId="0" borderId="9" xfId="0" applyFont="1" applyBorder="1"/>
    <xf numFmtId="0" fontId="4" fillId="0" borderId="7" xfId="0" applyFont="1" applyBorder="1"/>
    <xf numFmtId="0" fontId="4" fillId="0" borderId="10" xfId="0" applyFont="1" applyBorder="1"/>
    <xf numFmtId="0" fontId="26" fillId="3" borderId="13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vertical="center"/>
    </xf>
    <xf numFmtId="0" fontId="29" fillId="0" borderId="0" xfId="0" applyFont="1"/>
    <xf numFmtId="0" fontId="28" fillId="0" borderId="43" xfId="0" applyFont="1" applyBorder="1" applyAlignment="1">
      <alignment horizontal="center"/>
    </xf>
    <xf numFmtId="0" fontId="4" fillId="0" borderId="45" xfId="0" applyFont="1" applyBorder="1"/>
    <xf numFmtId="0" fontId="4" fillId="0" borderId="44" xfId="0" applyFont="1" applyBorder="1"/>
    <xf numFmtId="0" fontId="28" fillId="0" borderId="40" xfId="0" applyFont="1" applyBorder="1" applyAlignment="1">
      <alignment horizontal="center"/>
    </xf>
    <xf numFmtId="0" fontId="4" fillId="0" borderId="65" xfId="0" applyFont="1" applyBorder="1"/>
    <xf numFmtId="0" fontId="26" fillId="0" borderId="13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6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30" fillId="0" borderId="8" xfId="0" applyFont="1" applyBorder="1" applyAlignment="1">
      <alignment horizontal="left" vertical="center"/>
    </xf>
    <xf numFmtId="164" fontId="18" fillId="3" borderId="57" xfId="0" applyNumberFormat="1" applyFont="1" applyFill="1" applyBorder="1" applyAlignment="1">
      <alignment horizontal="center" vertical="center"/>
    </xf>
    <xf numFmtId="0" fontId="29" fillId="3" borderId="26" xfId="0" applyFont="1" applyFill="1" applyBorder="1" applyAlignment="1">
      <alignment horizontal="center"/>
    </xf>
    <xf numFmtId="0" fontId="29" fillId="3" borderId="60" xfId="0" applyFont="1" applyFill="1" applyBorder="1" applyAlignment="1">
      <alignment horizontal="center"/>
    </xf>
    <xf numFmtId="0" fontId="29" fillId="3" borderId="64" xfId="0" applyFont="1" applyFill="1" applyBorder="1" applyAlignment="1">
      <alignment horizontal="center"/>
    </xf>
    <xf numFmtId="0" fontId="31" fillId="0" borderId="13" xfId="0" applyFont="1" applyBorder="1" applyAlignment="1">
      <alignment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4" xfId="0" applyFont="1" applyBorder="1" applyAlignment="1">
      <alignment vertical="center"/>
    </xf>
    <xf numFmtId="0" fontId="29" fillId="0" borderId="43" xfId="0" applyFont="1" applyBorder="1" applyAlignment="1">
      <alignment horizontal="center"/>
    </xf>
    <xf numFmtId="0" fontId="29" fillId="0" borderId="40" xfId="0" applyFont="1" applyBorder="1" applyAlignment="1">
      <alignment horizontal="center"/>
    </xf>
    <xf numFmtId="0" fontId="31" fillId="0" borderId="15" xfId="0" applyFont="1" applyBorder="1" applyAlignment="1">
      <alignment vertical="center"/>
    </xf>
    <xf numFmtId="0" fontId="31" fillId="0" borderId="16" xfId="0" applyFont="1" applyBorder="1" applyAlignment="1">
      <alignment horizontal="center" vertical="center" wrapText="1"/>
    </xf>
    <xf numFmtId="0" fontId="31" fillId="0" borderId="18" xfId="0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0" fontId="27" fillId="3" borderId="26" xfId="0" applyFont="1" applyFill="1" applyBorder="1" applyAlignment="1">
      <alignment horizontal="center"/>
    </xf>
    <xf numFmtId="0" fontId="27" fillId="3" borderId="60" xfId="0" applyFont="1" applyFill="1" applyBorder="1" applyAlignment="1">
      <alignment horizontal="center"/>
    </xf>
    <xf numFmtId="0" fontId="27" fillId="0" borderId="43" xfId="0" applyFont="1" applyBorder="1" applyAlignment="1">
      <alignment horizontal="center"/>
    </xf>
    <xf numFmtId="0" fontId="27" fillId="0" borderId="40" xfId="0" applyFont="1" applyBorder="1" applyAlignment="1">
      <alignment horizontal="center"/>
    </xf>
  </cellXfs>
  <cellStyles count="1">
    <cellStyle name="Normal" xfId="0" builtinId="0"/>
  </cellStyles>
  <dxfs count="5">
    <dxf>
      <font>
        <b/>
        <color rgb="FFDD0806"/>
      </font>
      <fill>
        <patternFill patternType="solid">
          <fgColor rgb="FFDD0806"/>
          <bgColor rgb="FFDD0806"/>
        </patternFill>
      </fill>
      <border>
        <left/>
        <right/>
        <top/>
        <bottom/>
        <diagonal/>
      </border>
    </dxf>
    <dxf>
      <font/>
      <fill>
        <patternFill patternType="solid">
          <fgColor rgb="FF000080"/>
          <bgColor rgb="FF000080"/>
        </patternFill>
      </fill>
      <border>
        <left/>
        <right/>
        <top/>
        <bottom/>
        <diagonal/>
      </border>
    </dxf>
    <dxf>
      <font>
        <b/>
        <color rgb="FFDD0806"/>
      </font>
      <fill>
        <patternFill patternType="solid">
          <fgColor rgb="FFDD0806"/>
          <bgColor rgb="FFDD0806"/>
        </patternFill>
      </fill>
      <border>
        <left/>
        <right/>
        <top/>
        <bottom/>
        <diagonal/>
      </border>
    </dxf>
    <dxf>
      <font/>
      <fill>
        <patternFill patternType="solid">
          <fgColor rgb="FF000080"/>
          <bgColor rgb="FF000080"/>
        </patternFill>
      </fill>
      <border>
        <left/>
        <right/>
        <top/>
        <bottom/>
        <diagonal/>
      </border>
    </dxf>
    <dxf>
      <font/>
      <fill>
        <patternFill patternType="solid">
          <fgColor rgb="FFDD0806"/>
          <bgColor rgb="FFDD0806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247650</xdr:colOff>
      <xdr:row>0</xdr:row>
      <xdr:rowOff>19050</xdr:rowOff>
    </xdr:from>
    <xdr:ext cx="6219825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17" customWidth="1"/>
    <col min="2" max="2" width="10.88" customWidth="1"/>
    <col min="4" max="4" width="10.38" customWidth="1"/>
    <col min="5" max="5" width="8.75" customWidth="1"/>
    <col min="6" max="6" width="9.5" customWidth="1"/>
    <col min="7" max="7" width="6.75" customWidth="1"/>
    <col min="8" max="8" width="8.25" customWidth="1"/>
    <col min="9" max="9" width="7.25" customWidth="1"/>
    <col min="10" max="10" width="18.5" customWidth="1"/>
    <col min="11" max="11" width="8.5" customWidth="1"/>
    <col min="12" max="12" width="11.75" customWidth="1"/>
    <col min="13" max="13" width="16.13" customWidth="1"/>
    <col min="14" max="26" width="11.5" customWidth="1"/>
  </cols>
  <sheetData>
    <row r="1" ht="9.75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1.25" customHeight="1" spans="1:26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6" t="s">
        <v>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 spans="1:26" x14ac:dyDescent="0.25">
      <c r="A3" s="8" t="s">
        <v>3</v>
      </c>
      <c r="B3" s="9"/>
      <c r="C3" s="10" t="s">
        <v>4</v>
      </c>
      <c r="D3" s="10"/>
      <c r="E3" s="10" t="s">
        <v>5</v>
      </c>
      <c r="F3" s="11" t="b">
        <v>0</v>
      </c>
      <c r="G3" s="10"/>
      <c r="H3" s="10"/>
      <c r="I3" s="10" t="s">
        <v>6</v>
      </c>
      <c r="J3" s="11"/>
      <c r="K3" s="12" t="s">
        <v>7</v>
      </c>
      <c r="L3" s="5"/>
      <c r="M3" s="13" t="b">
        <v>0</v>
      </c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 spans="1:26" x14ac:dyDescent="0.25">
      <c r="A4" s="14" t="s">
        <v>8</v>
      </c>
      <c r="B4" s="15"/>
      <c r="C4" s="16" t="s">
        <v>9</v>
      </c>
      <c r="D4" s="17"/>
      <c r="E4" s="18"/>
      <c r="F4" s="16" t="s">
        <v>10</v>
      </c>
      <c r="G4" s="19"/>
      <c r="H4" s="20"/>
      <c r="I4" s="20"/>
      <c r="J4" s="19"/>
      <c r="K4" s="18"/>
      <c r="L4" s="16" t="s">
        <v>11</v>
      </c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40.5" customHeight="1" spans="1:26" x14ac:dyDescent="0.25">
      <c r="A5" s="23" t="s">
        <v>12</v>
      </c>
      <c r="B5" s="24">
        <v>20000</v>
      </c>
      <c r="C5" s="25" t="s">
        <v>13</v>
      </c>
      <c r="D5" s="26"/>
      <c r="E5" s="27">
        <f>VLOOKUP(B5,H94:I103,2,1)</f>
        <v>315</v>
      </c>
      <c r="F5" s="28" t="s">
        <v>14</v>
      </c>
      <c r="G5" s="5"/>
      <c r="H5" s="29"/>
      <c r="I5" s="30" t="s">
        <v>15</v>
      </c>
      <c r="J5" s="31"/>
      <c r="K5" s="5"/>
      <c r="L5" s="32" t="s">
        <v>16</v>
      </c>
      <c r="M5" s="33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 spans="1:26" x14ac:dyDescent="0.25">
      <c r="A6" s="34" t="s">
        <v>17</v>
      </c>
      <c r="B6" s="35" t="s">
        <v>18</v>
      </c>
      <c r="C6" s="4"/>
      <c r="D6" s="5"/>
      <c r="E6" s="35" t="s">
        <v>19</v>
      </c>
      <c r="F6" s="4"/>
      <c r="G6" s="4"/>
      <c r="H6" s="5"/>
      <c r="I6" s="35" t="s">
        <v>20</v>
      </c>
      <c r="J6" s="4"/>
      <c r="K6" s="4"/>
      <c r="L6" s="4"/>
      <c r="M6" s="36"/>
      <c r="N6" s="22"/>
      <c r="O6" s="37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3" customHeight="1" spans="1:26" x14ac:dyDescent="0.25">
      <c r="A7" s="38" t="s">
        <v>21</v>
      </c>
      <c r="B7" s="39" t="s">
        <v>22</v>
      </c>
      <c r="C7" s="40"/>
      <c r="D7" s="41" t="s">
        <v>23</v>
      </c>
      <c r="E7" s="40"/>
      <c r="F7" s="39" t="s">
        <v>24</v>
      </c>
      <c r="G7" s="40"/>
      <c r="H7" s="39" t="s">
        <v>25</v>
      </c>
      <c r="I7" s="40"/>
      <c r="J7" s="41"/>
      <c r="K7" s="40"/>
      <c r="L7" s="42"/>
      <c r="M7" s="43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2.75" customHeight="1" spans="1:26" x14ac:dyDescent="0.25">
      <c r="A8" s="44" t="s">
        <v>26</v>
      </c>
      <c r="B8" s="45"/>
      <c r="C8" s="46" t="s">
        <v>27</v>
      </c>
      <c r="D8" s="47" t="s">
        <v>28</v>
      </c>
      <c r="E8" s="48"/>
      <c r="F8" s="48"/>
      <c r="G8" s="46" t="s">
        <v>27</v>
      </c>
      <c r="H8" s="47" t="s">
        <v>28</v>
      </c>
      <c r="I8" s="48"/>
      <c r="J8" s="48" t="s">
        <v>2</v>
      </c>
      <c r="K8" s="48"/>
      <c r="L8" s="46" t="s">
        <v>27</v>
      </c>
      <c r="M8" s="47" t="s">
        <v>28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6.5" customHeight="1" spans="1:26" x14ac:dyDescent="0.25">
      <c r="A9" s="49" t="s">
        <v>29</v>
      </c>
      <c r="B9" s="50"/>
      <c r="C9" s="50"/>
      <c r="D9" s="51"/>
      <c r="E9" s="49" t="s">
        <v>30</v>
      </c>
      <c r="F9" s="50"/>
      <c r="G9" s="50"/>
      <c r="H9" s="51"/>
      <c r="I9" s="52" t="s">
        <v>31</v>
      </c>
      <c r="J9" s="53"/>
      <c r="K9" s="53"/>
      <c r="L9" s="54"/>
      <c r="M9" s="55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6.5" customHeight="1" spans="1:26" x14ac:dyDescent="0.25">
      <c r="A10" s="57" t="s">
        <v>32</v>
      </c>
      <c r="B10" s="53"/>
      <c r="C10" s="58" t="s">
        <v>27</v>
      </c>
      <c r="D10" s="59"/>
      <c r="E10" s="57" t="s">
        <v>33</v>
      </c>
      <c r="F10" s="53" t="s">
        <v>34</v>
      </c>
      <c r="G10" s="58"/>
      <c r="H10" s="60"/>
      <c r="I10" s="61" t="s">
        <v>35</v>
      </c>
      <c r="J10" s="62"/>
      <c r="K10" s="63"/>
      <c r="L10" s="58" t="s">
        <v>27</v>
      </c>
      <c r="M10" s="59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6.5" customHeight="1" spans="1:26" x14ac:dyDescent="0.25">
      <c r="A11" s="64" t="s">
        <v>36</v>
      </c>
      <c r="B11" s="65"/>
      <c r="C11" s="66" t="s">
        <v>27</v>
      </c>
      <c r="D11" s="67"/>
      <c r="E11" s="64" t="s">
        <v>37</v>
      </c>
      <c r="F11" s="68"/>
      <c r="G11" s="66" t="s">
        <v>27</v>
      </c>
      <c r="H11" s="69"/>
      <c r="I11" s="64" t="s">
        <v>38</v>
      </c>
      <c r="J11" s="4"/>
      <c r="K11" s="5"/>
      <c r="L11" s="70" t="s">
        <v>27</v>
      </c>
      <c r="M11" s="67"/>
      <c r="N11" s="7"/>
      <c r="O11" s="56"/>
      <c r="P11" s="71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" customHeight="1" spans="1:26" x14ac:dyDescent="0.25">
      <c r="A12" s="72" t="s">
        <v>39</v>
      </c>
      <c r="B12" s="73"/>
      <c r="C12" s="66" t="s">
        <v>27</v>
      </c>
      <c r="D12" s="67"/>
      <c r="E12" s="72" t="s">
        <v>40</v>
      </c>
      <c r="F12" s="73"/>
      <c r="G12" s="66" t="s">
        <v>27</v>
      </c>
      <c r="H12" s="69"/>
      <c r="I12" s="64" t="s">
        <v>41</v>
      </c>
      <c r="J12" s="74"/>
      <c r="K12" s="65"/>
      <c r="L12" s="70" t="s">
        <v>27</v>
      </c>
      <c r="M12" s="75"/>
      <c r="N12" s="71"/>
      <c r="O12" s="71"/>
      <c r="P12" s="7"/>
      <c r="Q12" s="71"/>
      <c r="R12" s="71"/>
      <c r="S12" s="7"/>
      <c r="T12" s="7"/>
      <c r="U12" s="7"/>
      <c r="V12" s="7"/>
      <c r="W12" s="7"/>
      <c r="X12" s="7"/>
      <c r="Y12" s="7"/>
      <c r="Z12" s="7"/>
    </row>
    <row r="13" ht="15" customHeight="1" spans="1:26" x14ac:dyDescent="0.25">
      <c r="A13" s="64" t="s">
        <v>42</v>
      </c>
      <c r="B13" s="65"/>
      <c r="C13" s="66" t="s">
        <v>27</v>
      </c>
      <c r="D13" s="67"/>
      <c r="E13" s="64" t="s">
        <v>43</v>
      </c>
      <c r="F13" s="65"/>
      <c r="G13" s="66"/>
      <c r="H13" s="69"/>
      <c r="I13" s="64" t="s">
        <v>44</v>
      </c>
      <c r="J13" s="74"/>
      <c r="K13" s="65"/>
      <c r="L13" s="70" t="s">
        <v>27</v>
      </c>
      <c r="M13" s="6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 spans="1:26" x14ac:dyDescent="0.25">
      <c r="A14" s="72" t="s">
        <v>45</v>
      </c>
      <c r="B14" s="73"/>
      <c r="C14" s="66" t="s">
        <v>27</v>
      </c>
      <c r="D14" s="67"/>
      <c r="E14" s="72" t="s">
        <v>46</v>
      </c>
      <c r="F14" s="73" t="s">
        <v>47</v>
      </c>
      <c r="G14" s="66" t="s">
        <v>2</v>
      </c>
      <c r="H14" s="69"/>
      <c r="I14" s="64" t="s">
        <v>48</v>
      </c>
      <c r="J14" s="74"/>
      <c r="K14" s="65"/>
      <c r="L14" s="70" t="s">
        <v>27</v>
      </c>
      <c r="M14" s="6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 spans="1:26" x14ac:dyDescent="0.25">
      <c r="A15" s="64"/>
      <c r="B15" s="65"/>
      <c r="C15" s="76"/>
      <c r="D15" s="77"/>
      <c r="E15" s="64" t="s">
        <v>49</v>
      </c>
      <c r="F15" s="65"/>
      <c r="G15" s="66"/>
      <c r="H15" s="69"/>
      <c r="I15" s="64" t="s">
        <v>50</v>
      </c>
      <c r="J15" s="4"/>
      <c r="K15" s="5"/>
      <c r="L15" s="70"/>
      <c r="M15" s="75"/>
      <c r="N15" s="71"/>
      <c r="O15" s="7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 spans="1:26" x14ac:dyDescent="0.25">
      <c r="A16" s="72"/>
      <c r="B16" s="73"/>
      <c r="C16" s="78"/>
      <c r="D16" s="79"/>
      <c r="E16" s="72" t="s">
        <v>51</v>
      </c>
      <c r="F16" s="73"/>
      <c r="G16" s="66"/>
      <c r="H16" s="69"/>
      <c r="I16" s="64" t="s">
        <v>52</v>
      </c>
      <c r="J16" s="74"/>
      <c r="K16" s="65"/>
      <c r="L16" s="66"/>
      <c r="M16" s="80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 spans="1:26" x14ac:dyDescent="0.25">
      <c r="A17" s="49" t="s">
        <v>53</v>
      </c>
      <c r="B17" s="50"/>
      <c r="C17" s="50"/>
      <c r="D17" s="51"/>
      <c r="E17" s="64" t="s">
        <v>54</v>
      </c>
      <c r="F17" s="65" t="s">
        <v>55</v>
      </c>
      <c r="G17" s="66" t="s">
        <v>27</v>
      </c>
      <c r="H17" s="69"/>
      <c r="I17" s="64" t="s">
        <v>56</v>
      </c>
      <c r="J17" s="74"/>
      <c r="K17" s="65"/>
      <c r="L17" s="66" t="s">
        <v>27</v>
      </c>
      <c r="M17" s="80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 spans="1:26" x14ac:dyDescent="0.25">
      <c r="A18" s="81" t="s">
        <v>57</v>
      </c>
      <c r="B18" s="82"/>
      <c r="C18" s="70" t="s">
        <v>27</v>
      </c>
      <c r="D18" s="80"/>
      <c r="E18" s="72"/>
      <c r="F18" s="73"/>
      <c r="G18" s="83"/>
      <c r="H18" s="84"/>
      <c r="I18" s="64" t="s">
        <v>58</v>
      </c>
      <c r="J18" s="74"/>
      <c r="K18" s="65"/>
      <c r="L18" s="85" t="s">
        <v>27</v>
      </c>
      <c r="M18" s="8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 spans="1:26" x14ac:dyDescent="0.25">
      <c r="A19" s="72" t="s">
        <v>59</v>
      </c>
      <c r="B19" s="73"/>
      <c r="C19" s="66" t="s">
        <v>27</v>
      </c>
      <c r="D19" s="67"/>
      <c r="E19" s="87" t="s">
        <v>60</v>
      </c>
      <c r="F19" s="88"/>
      <c r="G19" s="88"/>
      <c r="H19" s="88"/>
      <c r="I19" s="64" t="s">
        <v>61</v>
      </c>
      <c r="J19" s="4"/>
      <c r="K19" s="5"/>
      <c r="L19" s="76" t="s">
        <v>27</v>
      </c>
      <c r="M19" s="8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 spans="1:26" x14ac:dyDescent="0.25">
      <c r="A20" s="64" t="s">
        <v>62</v>
      </c>
      <c r="B20" s="65"/>
      <c r="C20" s="66" t="s">
        <v>27</v>
      </c>
      <c r="D20" s="67"/>
      <c r="E20" s="81" t="s">
        <v>63</v>
      </c>
      <c r="F20" s="82"/>
      <c r="G20" s="70" t="s">
        <v>27</v>
      </c>
      <c r="H20" s="90"/>
      <c r="I20" s="64" t="s">
        <v>64</v>
      </c>
      <c r="J20" s="4"/>
      <c r="K20" s="5"/>
      <c r="L20" s="76" t="s">
        <v>27</v>
      </c>
      <c r="M20" s="8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 spans="1:26" x14ac:dyDescent="0.25">
      <c r="A21" s="72" t="s">
        <v>65</v>
      </c>
      <c r="B21" s="73"/>
      <c r="C21" s="66"/>
      <c r="D21" s="67"/>
      <c r="E21" s="72" t="s">
        <v>66</v>
      </c>
      <c r="F21" s="73"/>
      <c r="G21" s="66" t="s">
        <v>27</v>
      </c>
      <c r="H21" s="69"/>
      <c r="I21" s="64" t="s">
        <v>67</v>
      </c>
      <c r="J21" s="4"/>
      <c r="K21" s="5"/>
      <c r="L21" s="91"/>
      <c r="M21" s="8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 spans="1:26" x14ac:dyDescent="0.25">
      <c r="A22" s="64" t="s">
        <v>68</v>
      </c>
      <c r="B22" s="65"/>
      <c r="C22" s="66"/>
      <c r="D22" s="67"/>
      <c r="E22" s="64" t="s">
        <v>69</v>
      </c>
      <c r="F22" s="92"/>
      <c r="G22" s="66" t="s">
        <v>27</v>
      </c>
      <c r="H22" s="93"/>
      <c r="I22" s="64" t="s">
        <v>70</v>
      </c>
      <c r="J22" s="4"/>
      <c r="K22" s="5"/>
      <c r="L22" s="91"/>
      <c r="M22" s="8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" customHeight="1" spans="1:26" x14ac:dyDescent="0.25">
      <c r="A23" s="72" t="s">
        <v>71</v>
      </c>
      <c r="B23" s="73"/>
      <c r="C23" s="66" t="s">
        <v>27</v>
      </c>
      <c r="D23" s="67"/>
      <c r="E23" s="64" t="s">
        <v>72</v>
      </c>
      <c r="F23" s="65"/>
      <c r="G23" s="66" t="s">
        <v>27</v>
      </c>
      <c r="H23" s="94"/>
      <c r="I23" s="64"/>
      <c r="J23" s="4"/>
      <c r="K23" s="5"/>
      <c r="L23" s="91"/>
      <c r="M23" s="8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" customHeight="1" spans="1:26" x14ac:dyDescent="0.25">
      <c r="A24" s="95"/>
      <c r="B24" s="96"/>
      <c r="C24" s="83"/>
      <c r="D24" s="97"/>
      <c r="E24" s="72" t="s">
        <v>73</v>
      </c>
      <c r="F24" s="73"/>
      <c r="G24" s="83" t="s">
        <v>27</v>
      </c>
      <c r="H24" s="98"/>
      <c r="I24" s="64"/>
      <c r="J24" s="4"/>
      <c r="K24" s="5"/>
      <c r="L24" s="99"/>
      <c r="M24" s="10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 spans="1:26" x14ac:dyDescent="0.25">
      <c r="A25" s="95"/>
      <c r="B25" s="101"/>
      <c r="C25" s="83"/>
      <c r="D25" s="97"/>
      <c r="E25" s="95"/>
      <c r="F25" s="96"/>
      <c r="G25" s="102"/>
      <c r="H25" s="98"/>
      <c r="I25" s="103"/>
      <c r="J25" s="104"/>
      <c r="K25" s="105"/>
      <c r="L25" s="99"/>
      <c r="M25" s="10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7" customHeight="1" spans="1:26" x14ac:dyDescent="0.25">
      <c r="A26" s="106" t="s">
        <v>74</v>
      </c>
      <c r="B26" s="107"/>
      <c r="C26" s="107"/>
      <c r="D26" s="107"/>
      <c r="E26" s="107"/>
      <c r="F26" s="108"/>
      <c r="G26" s="109" t="s">
        <v>75</v>
      </c>
      <c r="H26" s="110" t="s">
        <v>76</v>
      </c>
      <c r="I26" s="110" t="s">
        <v>77</v>
      </c>
      <c r="J26" s="111" t="s">
        <v>78</v>
      </c>
      <c r="K26" s="107"/>
      <c r="L26" s="107"/>
      <c r="M26" s="1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" customHeight="1" spans="1:26" x14ac:dyDescent="0.25">
      <c r="A27" s="113" t="s">
        <v>79</v>
      </c>
      <c r="B27" s="4"/>
      <c r="C27" s="4"/>
      <c r="D27" s="4"/>
      <c r="E27" s="4"/>
      <c r="F27" s="5"/>
      <c r="G27" s="114"/>
      <c r="H27" s="115"/>
      <c r="I27" s="116"/>
      <c r="J27" s="117"/>
      <c r="K27" s="4"/>
      <c r="L27" s="4"/>
      <c r="M27" s="3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" customHeight="1" spans="1:26" x14ac:dyDescent="0.25">
      <c r="A28" s="118" t="s">
        <v>80</v>
      </c>
      <c r="B28" s="4"/>
      <c r="C28" s="4"/>
      <c r="D28" s="4"/>
      <c r="E28" s="4"/>
      <c r="F28" s="5"/>
      <c r="G28" s="119"/>
      <c r="H28" s="120"/>
      <c r="I28" s="116"/>
      <c r="J28" s="117"/>
      <c r="K28" s="4"/>
      <c r="L28" s="4"/>
      <c r="M28" s="3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" customHeight="1" spans="1:26" x14ac:dyDescent="0.25">
      <c r="A29" s="118" t="s">
        <v>81</v>
      </c>
      <c r="B29" s="4"/>
      <c r="C29" s="4"/>
      <c r="D29" s="4"/>
      <c r="E29" s="4"/>
      <c r="F29" s="5"/>
      <c r="G29" s="121"/>
      <c r="H29" s="122"/>
      <c r="I29" s="116"/>
      <c r="J29" s="7"/>
      <c r="K29" s="7"/>
      <c r="L29" s="7"/>
      <c r="M29" s="12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" customHeight="1" spans="1:26" x14ac:dyDescent="0.25">
      <c r="A30" s="118" t="s">
        <v>82</v>
      </c>
      <c r="B30" s="4"/>
      <c r="C30" s="4"/>
      <c r="D30" s="4"/>
      <c r="E30" s="4"/>
      <c r="F30" s="5"/>
      <c r="G30" s="121"/>
      <c r="H30" s="124"/>
      <c r="I30" s="125"/>
      <c r="J30" s="117"/>
      <c r="K30" s="4"/>
      <c r="L30" s="4"/>
      <c r="M30" s="3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" customHeight="1" spans="1:26" x14ac:dyDescent="0.25">
      <c r="A31" s="118" t="s">
        <v>83</v>
      </c>
      <c r="B31" s="4"/>
      <c r="C31" s="4"/>
      <c r="D31" s="4"/>
      <c r="E31" s="4"/>
      <c r="F31" s="5"/>
      <c r="G31" s="121"/>
      <c r="H31" s="124"/>
      <c r="I31" s="116"/>
      <c r="J31" s="117"/>
      <c r="K31" s="4"/>
      <c r="L31" s="4"/>
      <c r="M31" s="36"/>
      <c r="N31" s="12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" customHeight="1" spans="1:26" x14ac:dyDescent="0.25">
      <c r="A32" s="118" t="s">
        <v>84</v>
      </c>
      <c r="B32" s="4"/>
      <c r="C32" s="4"/>
      <c r="D32" s="4"/>
      <c r="E32" s="4"/>
      <c r="F32" s="5"/>
      <c r="G32" s="121"/>
      <c r="H32" s="124"/>
      <c r="I32" s="116"/>
      <c r="J32" s="117"/>
      <c r="K32" s="4"/>
      <c r="L32" s="4"/>
      <c r="M32" s="3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" customHeight="1" spans="1:26" x14ac:dyDescent="0.25">
      <c r="A33" s="118" t="s">
        <v>85</v>
      </c>
      <c r="B33" s="4"/>
      <c r="C33" s="4"/>
      <c r="D33" s="4"/>
      <c r="E33" s="4"/>
      <c r="F33" s="5"/>
      <c r="G33" s="121"/>
      <c r="H33" s="124">
        <v>2</v>
      </c>
      <c r="I33" s="116"/>
      <c r="J33" s="117"/>
      <c r="K33" s="4"/>
      <c r="L33" s="4"/>
      <c r="M33" s="3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" customHeight="1" spans="1:26" x14ac:dyDescent="0.25">
      <c r="A34" s="127" t="s">
        <v>86</v>
      </c>
      <c r="B34" s="4"/>
      <c r="C34" s="4"/>
      <c r="D34" s="4"/>
      <c r="E34" s="4"/>
      <c r="F34" s="5"/>
      <c r="G34" s="121"/>
      <c r="H34" s="115"/>
      <c r="I34" s="116">
        <v>2</v>
      </c>
      <c r="J34" s="117"/>
      <c r="K34" s="4"/>
      <c r="L34" s="4"/>
      <c r="M34" s="3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" customHeight="1" spans="1:26" x14ac:dyDescent="0.25">
      <c r="A35" s="118" t="s">
        <v>87</v>
      </c>
      <c r="B35" s="4"/>
      <c r="C35" s="4"/>
      <c r="D35" s="4"/>
      <c r="E35" s="4"/>
      <c r="F35" s="5"/>
      <c r="G35" s="121"/>
      <c r="H35" s="124"/>
      <c r="I35" s="116"/>
      <c r="J35" s="117"/>
      <c r="K35" s="4"/>
      <c r="L35" s="4"/>
      <c r="M35" s="3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" customHeight="1" spans="1:26" x14ac:dyDescent="0.25">
      <c r="A36" s="118" t="s">
        <v>88</v>
      </c>
      <c r="B36" s="4"/>
      <c r="C36" s="4"/>
      <c r="D36" s="4"/>
      <c r="E36" s="4"/>
      <c r="F36" s="5"/>
      <c r="G36" s="121"/>
      <c r="H36" s="120"/>
      <c r="I36" s="116"/>
      <c r="J36" s="117"/>
      <c r="K36" s="4"/>
      <c r="L36" s="4"/>
      <c r="M36" s="3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 spans="1:26" x14ac:dyDescent="0.25">
      <c r="A37" s="118" t="s">
        <v>89</v>
      </c>
      <c r="B37" s="4"/>
      <c r="C37" s="4"/>
      <c r="D37" s="4"/>
      <c r="E37" s="4"/>
      <c r="F37" s="5"/>
      <c r="G37" s="121"/>
      <c r="H37" s="124"/>
      <c r="I37" s="116"/>
      <c r="J37" s="117"/>
      <c r="K37" s="4"/>
      <c r="L37" s="4"/>
      <c r="M37" s="3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" customHeight="1" spans="1:26" x14ac:dyDescent="0.25">
      <c r="A38" s="118" t="s">
        <v>90</v>
      </c>
      <c r="B38" s="4"/>
      <c r="C38" s="4"/>
      <c r="D38" s="4"/>
      <c r="E38" s="4"/>
      <c r="F38" s="5"/>
      <c r="G38" s="121"/>
      <c r="H38" s="120"/>
      <c r="I38" s="116"/>
      <c r="J38" s="117"/>
      <c r="K38" s="4"/>
      <c r="L38" s="4"/>
      <c r="M38" s="3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" customHeight="1" spans="1:26" x14ac:dyDescent="0.25">
      <c r="A39" s="118" t="s">
        <v>91</v>
      </c>
      <c r="B39" s="4"/>
      <c r="C39" s="4"/>
      <c r="D39" s="4"/>
      <c r="E39" s="4"/>
      <c r="F39" s="5"/>
      <c r="G39" s="121"/>
      <c r="H39" s="120"/>
      <c r="I39" s="116"/>
      <c r="J39" s="117"/>
      <c r="K39" s="4"/>
      <c r="L39" s="4"/>
      <c r="M39" s="3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" customHeight="1" spans="1:26" x14ac:dyDescent="0.25">
      <c r="A40" s="118" t="s">
        <v>92</v>
      </c>
      <c r="B40" s="4"/>
      <c r="C40" s="4"/>
      <c r="D40" s="4"/>
      <c r="E40" s="4"/>
      <c r="F40" s="5"/>
      <c r="G40" s="121"/>
      <c r="H40" s="120"/>
      <c r="I40" s="116"/>
      <c r="J40" s="117"/>
      <c r="K40" s="4"/>
      <c r="L40" s="4"/>
      <c r="M40" s="3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" customHeight="1" spans="1:26" x14ac:dyDescent="0.25">
      <c r="A41" s="118" t="s">
        <v>93</v>
      </c>
      <c r="B41" s="4"/>
      <c r="C41" s="4"/>
      <c r="D41" s="4"/>
      <c r="E41" s="4"/>
      <c r="F41" s="5"/>
      <c r="G41" s="121"/>
      <c r="H41" s="120"/>
      <c r="I41" s="116"/>
      <c r="J41" s="117"/>
      <c r="K41" s="4"/>
      <c r="L41" s="4"/>
      <c r="M41" s="3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" customHeight="1" spans="1:26" x14ac:dyDescent="0.25">
      <c r="A42" s="118" t="s">
        <v>94</v>
      </c>
      <c r="B42" s="4"/>
      <c r="C42" s="4"/>
      <c r="D42" s="4"/>
      <c r="E42" s="4"/>
      <c r="F42" s="5"/>
      <c r="G42" s="121"/>
      <c r="H42" s="120"/>
      <c r="I42" s="116"/>
      <c r="J42" s="117"/>
      <c r="K42" s="4"/>
      <c r="L42" s="4"/>
      <c r="M42" s="3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" customHeight="1" spans="1:26" x14ac:dyDescent="0.25">
      <c r="A43" s="118" t="s">
        <v>95</v>
      </c>
      <c r="B43" s="4"/>
      <c r="C43" s="4"/>
      <c r="D43" s="4"/>
      <c r="E43" s="4"/>
      <c r="F43" s="5"/>
      <c r="G43" s="121"/>
      <c r="H43" s="120"/>
      <c r="I43" s="116"/>
      <c r="J43" s="117"/>
      <c r="K43" s="4"/>
      <c r="L43" s="4"/>
      <c r="M43" s="3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" customHeight="1" spans="1:26" x14ac:dyDescent="0.25">
      <c r="A44" s="118" t="s">
        <v>96</v>
      </c>
      <c r="B44" s="4"/>
      <c r="C44" s="4"/>
      <c r="D44" s="4"/>
      <c r="E44" s="4"/>
      <c r="F44" s="5"/>
      <c r="G44" s="121"/>
      <c r="H44" s="124"/>
      <c r="I44" s="116"/>
      <c r="J44" s="117"/>
      <c r="K44" s="4"/>
      <c r="L44" s="4"/>
      <c r="M44" s="3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" customHeight="1" spans="1:26" x14ac:dyDescent="0.25">
      <c r="A45" s="118" t="s">
        <v>97</v>
      </c>
      <c r="B45" s="4"/>
      <c r="C45" s="4"/>
      <c r="D45" s="4"/>
      <c r="E45" s="4"/>
      <c r="F45" s="5"/>
      <c r="G45" s="121"/>
      <c r="H45" s="124"/>
      <c r="I45" s="116"/>
      <c r="J45" s="117"/>
      <c r="K45" s="4"/>
      <c r="L45" s="4"/>
      <c r="M45" s="3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7" customHeight="1" spans="1:26" x14ac:dyDescent="0.25">
      <c r="A46" s="128" t="s">
        <v>98</v>
      </c>
      <c r="B46" s="4"/>
      <c r="C46" s="4"/>
      <c r="D46" s="4"/>
      <c r="E46" s="4"/>
      <c r="F46" s="5"/>
      <c r="G46" s="121"/>
      <c r="H46" s="120"/>
      <c r="I46" s="116"/>
      <c r="J46" s="117"/>
      <c r="K46" s="4"/>
      <c r="L46" s="4"/>
      <c r="M46" s="3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" customHeight="1" spans="1:26" x14ac:dyDescent="0.25">
      <c r="A47" s="118" t="s">
        <v>99</v>
      </c>
      <c r="B47" s="4"/>
      <c r="C47" s="4"/>
      <c r="D47" s="4"/>
      <c r="E47" s="4"/>
      <c r="F47" s="5"/>
      <c r="G47" s="121"/>
      <c r="H47" s="120"/>
      <c r="I47" s="116"/>
      <c r="J47" s="117"/>
      <c r="K47" s="4"/>
      <c r="L47" s="4"/>
      <c r="M47" s="3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7" customHeight="1" spans="1:26" x14ac:dyDescent="0.25">
      <c r="A48" s="129" t="s">
        <v>100</v>
      </c>
      <c r="B48" s="4"/>
      <c r="C48" s="4"/>
      <c r="D48" s="4"/>
      <c r="E48" s="4"/>
      <c r="F48" s="5"/>
      <c r="G48" s="121"/>
      <c r="H48" s="120"/>
      <c r="I48" s="116"/>
      <c r="J48" s="117"/>
      <c r="K48" s="4"/>
      <c r="L48" s="4"/>
      <c r="M48" s="3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7" customHeight="1" spans="1:26" x14ac:dyDescent="0.25">
      <c r="A49" s="128" t="s">
        <v>101</v>
      </c>
      <c r="B49" s="4"/>
      <c r="C49" s="4"/>
      <c r="D49" s="4"/>
      <c r="E49" s="4"/>
      <c r="F49" s="5"/>
      <c r="G49" s="121"/>
      <c r="H49" s="130"/>
      <c r="I49" s="116"/>
      <c r="J49" s="117"/>
      <c r="K49" s="4"/>
      <c r="L49" s="4"/>
      <c r="M49" s="3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" customHeight="1" spans="1:26" x14ac:dyDescent="0.25">
      <c r="A50" s="118" t="s">
        <v>102</v>
      </c>
      <c r="B50" s="4"/>
      <c r="C50" s="4"/>
      <c r="D50" s="4"/>
      <c r="E50" s="4"/>
      <c r="F50" s="5"/>
      <c r="G50" s="121"/>
      <c r="H50" s="124"/>
      <c r="I50" s="116"/>
      <c r="J50" s="131"/>
      <c r="K50" s="4"/>
      <c r="L50" s="4"/>
      <c r="M50" s="3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" customHeight="1" spans="1:26" x14ac:dyDescent="0.25">
      <c r="A51" s="113" t="s">
        <v>103</v>
      </c>
      <c r="B51" s="4"/>
      <c r="C51" s="4"/>
      <c r="D51" s="4"/>
      <c r="E51" s="4"/>
      <c r="F51" s="5"/>
      <c r="G51" s="121"/>
      <c r="H51" s="115"/>
      <c r="I51" s="116"/>
      <c r="J51" s="117"/>
      <c r="K51" s="4"/>
      <c r="L51" s="4"/>
      <c r="M51" s="3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 spans="1:26" x14ac:dyDescent="0.25">
      <c r="A52" s="132" t="s">
        <v>104</v>
      </c>
      <c r="B52" s="4"/>
      <c r="C52" s="4"/>
      <c r="D52" s="4"/>
      <c r="E52" s="4"/>
      <c r="F52" s="5"/>
      <c r="G52" s="121"/>
      <c r="H52" s="120"/>
      <c r="I52" s="116"/>
      <c r="J52" s="117"/>
      <c r="K52" s="4"/>
      <c r="L52" s="4"/>
      <c r="M52" s="3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9.25" customHeight="1" spans="1:26" x14ac:dyDescent="0.25">
      <c r="A53" s="129" t="s">
        <v>105</v>
      </c>
      <c r="B53" s="4"/>
      <c r="C53" s="4"/>
      <c r="D53" s="4"/>
      <c r="E53" s="4"/>
      <c r="F53" s="5"/>
      <c r="G53" s="121"/>
      <c r="H53" s="120"/>
      <c r="I53" s="116"/>
      <c r="J53" s="117"/>
      <c r="K53" s="4"/>
      <c r="L53" s="4"/>
      <c r="M53" s="3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7.75" customHeight="1" spans="1:26" x14ac:dyDescent="0.25">
      <c r="A54" s="129" t="s">
        <v>106</v>
      </c>
      <c r="B54" s="4"/>
      <c r="C54" s="4"/>
      <c r="D54" s="4"/>
      <c r="E54" s="4"/>
      <c r="F54" s="5"/>
      <c r="G54" s="121"/>
      <c r="H54" s="120"/>
      <c r="I54" s="116"/>
      <c r="J54" s="117"/>
      <c r="K54" s="4"/>
      <c r="L54" s="4"/>
      <c r="M54" s="3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 spans="1:26" x14ac:dyDescent="0.25">
      <c r="A55" s="118" t="s">
        <v>107</v>
      </c>
      <c r="B55" s="4"/>
      <c r="C55" s="4"/>
      <c r="D55" s="4"/>
      <c r="E55" s="4"/>
      <c r="F55" s="5"/>
      <c r="G55" s="121"/>
      <c r="H55" s="120"/>
      <c r="I55" s="116"/>
      <c r="J55" s="117"/>
      <c r="K55" s="4"/>
      <c r="L55" s="4"/>
      <c r="M55" s="3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75" customHeight="1" spans="1:26" x14ac:dyDescent="0.25">
      <c r="A56" s="118" t="s">
        <v>108</v>
      </c>
      <c r="B56" s="4"/>
      <c r="C56" s="4"/>
      <c r="D56" s="4"/>
      <c r="E56" s="4"/>
      <c r="F56" s="5"/>
      <c r="G56" s="121"/>
      <c r="H56" s="124"/>
      <c r="I56" s="116"/>
      <c r="J56" s="117"/>
      <c r="K56" s="4"/>
      <c r="L56" s="4"/>
      <c r="M56" s="3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" customHeight="1" spans="1:26" x14ac:dyDescent="0.25">
      <c r="A57" s="113" t="s">
        <v>109</v>
      </c>
      <c r="B57" s="4"/>
      <c r="C57" s="4"/>
      <c r="D57" s="4"/>
      <c r="E57" s="4"/>
      <c r="F57" s="5"/>
      <c r="G57" s="121"/>
      <c r="H57" s="115"/>
      <c r="I57" s="116"/>
      <c r="J57" s="117"/>
      <c r="K57" s="4"/>
      <c r="L57" s="4"/>
      <c r="M57" s="3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1.5" customHeight="1" spans="1:26" x14ac:dyDescent="0.25">
      <c r="A58" s="129" t="s">
        <v>110</v>
      </c>
      <c r="B58" s="4"/>
      <c r="C58" s="4"/>
      <c r="D58" s="4"/>
      <c r="E58" s="4"/>
      <c r="F58" s="5"/>
      <c r="G58" s="121"/>
      <c r="H58" s="115"/>
      <c r="I58" s="116"/>
      <c r="J58" s="117"/>
      <c r="K58" s="4"/>
      <c r="L58" s="4"/>
      <c r="M58" s="3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" customHeight="1" spans="1:26" x14ac:dyDescent="0.25">
      <c r="A59" s="118" t="s">
        <v>111</v>
      </c>
      <c r="B59" s="4"/>
      <c r="C59" s="4"/>
      <c r="D59" s="4"/>
      <c r="E59" s="4"/>
      <c r="F59" s="5"/>
      <c r="G59" s="121"/>
      <c r="H59" s="115"/>
      <c r="I59" s="116"/>
      <c r="J59" s="117"/>
      <c r="K59" s="4"/>
      <c r="L59" s="4"/>
      <c r="M59" s="3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" customHeight="1" spans="1:26" x14ac:dyDescent="0.25">
      <c r="A60" s="118" t="s">
        <v>112</v>
      </c>
      <c r="B60" s="4"/>
      <c r="C60" s="4"/>
      <c r="D60" s="4"/>
      <c r="E60" s="4"/>
      <c r="F60" s="5"/>
      <c r="G60" s="121"/>
      <c r="H60" s="115"/>
      <c r="I60" s="116"/>
      <c r="J60" s="117"/>
      <c r="K60" s="4"/>
      <c r="L60" s="4"/>
      <c r="M60" s="3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" customHeight="1" spans="1:26" x14ac:dyDescent="0.25">
      <c r="A61" s="113" t="s">
        <v>113</v>
      </c>
      <c r="B61" s="4"/>
      <c r="C61" s="4"/>
      <c r="D61" s="4"/>
      <c r="E61" s="4"/>
      <c r="F61" s="5"/>
      <c r="G61" s="121"/>
      <c r="H61" s="115"/>
      <c r="I61" s="116"/>
      <c r="J61" s="117"/>
      <c r="K61" s="4"/>
      <c r="L61" s="4"/>
      <c r="M61" s="3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" customHeight="1" spans="1:26" x14ac:dyDescent="0.25">
      <c r="A62" s="118" t="s">
        <v>114</v>
      </c>
      <c r="B62" s="4"/>
      <c r="C62" s="4"/>
      <c r="D62" s="4"/>
      <c r="E62" s="4"/>
      <c r="F62" s="5"/>
      <c r="G62" s="121"/>
      <c r="H62" s="115"/>
      <c r="I62" s="116"/>
      <c r="J62" s="117"/>
      <c r="K62" s="4"/>
      <c r="L62" s="4"/>
      <c r="M62" s="3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" customHeight="1" spans="1:26" x14ac:dyDescent="0.25">
      <c r="A63" s="118" t="s">
        <v>115</v>
      </c>
      <c r="B63" s="4"/>
      <c r="C63" s="4"/>
      <c r="D63" s="4"/>
      <c r="E63" s="4"/>
      <c r="F63" s="5"/>
      <c r="G63" s="121"/>
      <c r="H63" s="115"/>
      <c r="I63" s="116"/>
      <c r="J63" s="117"/>
      <c r="K63" s="4"/>
      <c r="L63" s="4"/>
      <c r="M63" s="3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" customHeight="1" spans="1:26" x14ac:dyDescent="0.25">
      <c r="A64" s="118" t="s">
        <v>116</v>
      </c>
      <c r="B64" s="4"/>
      <c r="C64" s="4"/>
      <c r="D64" s="4"/>
      <c r="E64" s="4"/>
      <c r="F64" s="5"/>
      <c r="G64" s="121"/>
      <c r="H64" s="115"/>
      <c r="I64" s="116"/>
      <c r="J64" s="117"/>
      <c r="K64" s="4"/>
      <c r="L64" s="4"/>
      <c r="M64" s="3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" customHeight="1" spans="1:26" x14ac:dyDescent="0.25">
      <c r="A65" s="118" t="s">
        <v>117</v>
      </c>
      <c r="B65" s="4"/>
      <c r="C65" s="4"/>
      <c r="D65" s="4"/>
      <c r="E65" s="4"/>
      <c r="F65" s="5"/>
      <c r="G65" s="121"/>
      <c r="H65" s="115"/>
      <c r="I65" s="116"/>
      <c r="J65" s="117"/>
      <c r="K65" s="4"/>
      <c r="L65" s="4"/>
      <c r="M65" s="3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" customHeight="1" spans="1:26" x14ac:dyDescent="0.25">
      <c r="A66" s="118" t="s">
        <v>118</v>
      </c>
      <c r="B66" s="4"/>
      <c r="C66" s="4"/>
      <c r="D66" s="4"/>
      <c r="E66" s="4"/>
      <c r="F66" s="5"/>
      <c r="G66" s="121"/>
      <c r="H66" s="115"/>
      <c r="I66" s="116"/>
      <c r="J66" s="117"/>
      <c r="K66" s="4"/>
      <c r="L66" s="4"/>
      <c r="M66" s="3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" customHeight="1" spans="1:26" x14ac:dyDescent="0.25">
      <c r="A67" s="118" t="s">
        <v>119</v>
      </c>
      <c r="B67" s="4"/>
      <c r="C67" s="4"/>
      <c r="D67" s="4"/>
      <c r="E67" s="4"/>
      <c r="F67" s="5"/>
      <c r="G67" s="121"/>
      <c r="H67" s="115"/>
      <c r="I67" s="116"/>
      <c r="J67" s="117"/>
      <c r="K67" s="4"/>
      <c r="L67" s="4"/>
      <c r="M67" s="3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" customHeight="1" spans="1:26" x14ac:dyDescent="0.25">
      <c r="A68" s="118" t="s">
        <v>120</v>
      </c>
      <c r="B68" s="4"/>
      <c r="C68" s="4"/>
      <c r="D68" s="4"/>
      <c r="E68" s="4"/>
      <c r="F68" s="5"/>
      <c r="G68" s="121"/>
      <c r="H68" s="115"/>
      <c r="I68" s="116"/>
      <c r="J68" s="117"/>
      <c r="K68" s="4"/>
      <c r="L68" s="4"/>
      <c r="M68" s="3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" customHeight="1" spans="1:26" x14ac:dyDescent="0.25">
      <c r="A69" s="118" t="s">
        <v>121</v>
      </c>
      <c r="B69" s="4"/>
      <c r="C69" s="4"/>
      <c r="D69" s="4"/>
      <c r="E69" s="4"/>
      <c r="F69" s="5"/>
      <c r="G69" s="121"/>
      <c r="H69" s="115"/>
      <c r="I69" s="116"/>
      <c r="J69" s="117"/>
      <c r="K69" s="4"/>
      <c r="L69" s="4"/>
      <c r="M69" s="36"/>
      <c r="N69" s="7"/>
      <c r="O69" s="7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" customHeight="1" spans="1:26" x14ac:dyDescent="0.25">
      <c r="A70" s="118" t="s">
        <v>122</v>
      </c>
      <c r="B70" s="4"/>
      <c r="C70" s="4"/>
      <c r="D70" s="4"/>
      <c r="E70" s="4"/>
      <c r="F70" s="5"/>
      <c r="G70" s="121"/>
      <c r="H70" s="115"/>
      <c r="I70" s="116"/>
      <c r="J70" s="117"/>
      <c r="K70" s="4"/>
      <c r="L70" s="4"/>
      <c r="M70" s="36"/>
      <c r="N70" s="7"/>
      <c r="O70" s="7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" customHeight="1" spans="1:26" x14ac:dyDescent="0.25">
      <c r="A71" s="118" t="s">
        <v>123</v>
      </c>
      <c r="B71" s="4"/>
      <c r="C71" s="4"/>
      <c r="D71" s="4"/>
      <c r="E71" s="4"/>
      <c r="F71" s="5"/>
      <c r="G71" s="121"/>
      <c r="H71" s="115"/>
      <c r="I71" s="116"/>
      <c r="J71" s="117"/>
      <c r="K71" s="4"/>
      <c r="L71" s="4"/>
      <c r="M71" s="3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 spans="1:26" x14ac:dyDescent="0.25">
      <c r="A72" s="113" t="s">
        <v>124</v>
      </c>
      <c r="B72" s="4"/>
      <c r="C72" s="4"/>
      <c r="D72" s="4"/>
      <c r="E72" s="4"/>
      <c r="F72" s="5"/>
      <c r="G72" s="121"/>
      <c r="H72" s="115"/>
      <c r="I72" s="116"/>
      <c r="J72" s="117"/>
      <c r="K72" s="4"/>
      <c r="L72" s="4"/>
      <c r="M72" s="3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9.25" customHeight="1" spans="1:26" x14ac:dyDescent="0.25">
      <c r="A73" s="128" t="s">
        <v>125</v>
      </c>
      <c r="B73" s="4"/>
      <c r="C73" s="4"/>
      <c r="D73" s="4"/>
      <c r="E73" s="4"/>
      <c r="F73" s="5"/>
      <c r="G73" s="133"/>
      <c r="H73" s="134"/>
      <c r="I73" s="116"/>
      <c r="J73" s="117"/>
      <c r="K73" s="4"/>
      <c r="L73" s="4"/>
      <c r="M73" s="3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9.25" customHeight="1" spans="1:26" x14ac:dyDescent="0.25">
      <c r="A74" s="128" t="s">
        <v>126</v>
      </c>
      <c r="B74" s="4"/>
      <c r="C74" s="4"/>
      <c r="D74" s="4"/>
      <c r="E74" s="4"/>
      <c r="F74" s="5"/>
      <c r="G74" s="133"/>
      <c r="H74" s="134"/>
      <c r="I74" s="116"/>
      <c r="J74" s="117"/>
      <c r="K74" s="4"/>
      <c r="L74" s="4"/>
      <c r="M74" s="3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9.75" customHeight="1" spans="1:26" x14ac:dyDescent="0.25">
      <c r="A75" s="135" t="s">
        <v>127</v>
      </c>
      <c r="B75" s="4"/>
      <c r="C75" s="4"/>
      <c r="D75" s="4"/>
      <c r="E75" s="4"/>
      <c r="F75" s="5"/>
      <c r="G75" s="133"/>
      <c r="H75" s="134"/>
      <c r="I75" s="116"/>
      <c r="J75" s="117"/>
      <c r="K75" s="4"/>
      <c r="L75" s="4"/>
      <c r="M75" s="3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 spans="1:26" x14ac:dyDescent="0.25">
      <c r="A76" s="118" t="s">
        <v>128</v>
      </c>
      <c r="B76" s="4"/>
      <c r="C76" s="4"/>
      <c r="D76" s="4"/>
      <c r="E76" s="4"/>
      <c r="F76" s="5"/>
      <c r="G76" s="121"/>
      <c r="H76" s="115"/>
      <c r="I76" s="116"/>
      <c r="J76" s="117"/>
      <c r="K76" s="4"/>
      <c r="L76" s="4"/>
      <c r="M76" s="3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 spans="1:26" x14ac:dyDescent="0.25">
      <c r="A77" s="113" t="s">
        <v>129</v>
      </c>
      <c r="B77" s="4"/>
      <c r="C77" s="4"/>
      <c r="D77" s="4"/>
      <c r="E77" s="4"/>
      <c r="F77" s="5"/>
      <c r="G77" s="121"/>
      <c r="H77" s="115"/>
      <c r="I77" s="116"/>
      <c r="J77" s="117"/>
      <c r="K77" s="4"/>
      <c r="L77" s="4"/>
      <c r="M77" s="3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 spans="1:26" x14ac:dyDescent="0.25">
      <c r="A78" s="118" t="s">
        <v>130</v>
      </c>
      <c r="B78" s="4"/>
      <c r="C78" s="4"/>
      <c r="D78" s="4"/>
      <c r="E78" s="4"/>
      <c r="F78" s="5"/>
      <c r="G78" s="121"/>
      <c r="H78" s="115"/>
      <c r="I78" s="116"/>
      <c r="J78" s="117"/>
      <c r="K78" s="4"/>
      <c r="L78" s="4"/>
      <c r="M78" s="3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 spans="1:26" x14ac:dyDescent="0.25">
      <c r="A79" s="135" t="s">
        <v>131</v>
      </c>
      <c r="B79" s="4"/>
      <c r="C79" s="4"/>
      <c r="D79" s="4"/>
      <c r="E79" s="4"/>
      <c r="F79" s="5"/>
      <c r="G79" s="121"/>
      <c r="H79" s="115"/>
      <c r="I79" s="116"/>
      <c r="J79" s="117"/>
      <c r="K79" s="4"/>
      <c r="L79" s="4"/>
      <c r="M79" s="3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 spans="1:26" x14ac:dyDescent="0.25">
      <c r="A80" s="118" t="s">
        <v>132</v>
      </c>
      <c r="B80" s="4"/>
      <c r="C80" s="4"/>
      <c r="D80" s="4"/>
      <c r="E80" s="4"/>
      <c r="F80" s="5"/>
      <c r="G80" s="121"/>
      <c r="H80" s="115"/>
      <c r="I80" s="116"/>
      <c r="J80" s="117"/>
      <c r="K80" s="4"/>
      <c r="L80" s="4"/>
      <c r="M80" s="3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 spans="1:26" x14ac:dyDescent="0.25">
      <c r="A81" s="118" t="s">
        <v>133</v>
      </c>
      <c r="B81" s="4"/>
      <c r="C81" s="4"/>
      <c r="D81" s="4"/>
      <c r="E81" s="4"/>
      <c r="F81" s="5"/>
      <c r="G81" s="121"/>
      <c r="H81" s="115"/>
      <c r="I81" s="116"/>
      <c r="J81" s="117"/>
      <c r="K81" s="4"/>
      <c r="L81" s="4"/>
      <c r="M81" s="3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 spans="1:26" x14ac:dyDescent="0.25">
      <c r="A82" s="118" t="s">
        <v>134</v>
      </c>
      <c r="B82" s="4"/>
      <c r="C82" s="4"/>
      <c r="D82" s="4"/>
      <c r="E82" s="4"/>
      <c r="F82" s="5"/>
      <c r="G82" s="121"/>
      <c r="H82" s="115"/>
      <c r="I82" s="116"/>
      <c r="J82" s="117"/>
      <c r="K82" s="4"/>
      <c r="L82" s="4"/>
      <c r="M82" s="3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 spans="1:26" x14ac:dyDescent="0.25">
      <c r="A83" s="118" t="s">
        <v>135</v>
      </c>
      <c r="B83" s="4"/>
      <c r="C83" s="4"/>
      <c r="D83" s="4"/>
      <c r="E83" s="4"/>
      <c r="F83" s="5"/>
      <c r="G83" s="121"/>
      <c r="H83" s="115"/>
      <c r="I83" s="116"/>
      <c r="J83" s="117"/>
      <c r="K83" s="4"/>
      <c r="L83" s="4"/>
      <c r="M83" s="3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 spans="1:26" x14ac:dyDescent="0.25">
      <c r="A84" s="118" t="s">
        <v>136</v>
      </c>
      <c r="B84" s="4"/>
      <c r="C84" s="4"/>
      <c r="D84" s="4"/>
      <c r="E84" s="4"/>
      <c r="F84" s="5"/>
      <c r="G84" s="121"/>
      <c r="H84" s="115"/>
      <c r="I84" s="116"/>
      <c r="J84" s="117"/>
      <c r="K84" s="4"/>
      <c r="L84" s="4"/>
      <c r="M84" s="36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 spans="1:26" x14ac:dyDescent="0.25">
      <c r="A85" s="118" t="s">
        <v>137</v>
      </c>
      <c r="B85" s="4"/>
      <c r="C85" s="4"/>
      <c r="D85" s="4"/>
      <c r="E85" s="4"/>
      <c r="F85" s="5"/>
      <c r="G85" s="121"/>
      <c r="H85" s="115"/>
      <c r="I85" s="116"/>
      <c r="J85" s="117"/>
      <c r="K85" s="4"/>
      <c r="L85" s="4"/>
      <c r="M85" s="36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 spans="1:26" x14ac:dyDescent="0.25">
      <c r="A86" s="118" t="s">
        <v>138</v>
      </c>
      <c r="B86" s="4"/>
      <c r="C86" s="4"/>
      <c r="D86" s="4"/>
      <c r="E86" s="4"/>
      <c r="F86" s="5"/>
      <c r="G86" s="121"/>
      <c r="H86" s="115"/>
      <c r="I86" s="116"/>
      <c r="J86" s="117"/>
      <c r="K86" s="4"/>
      <c r="L86" s="4"/>
      <c r="M86" s="36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" customHeight="1" spans="1:26" x14ac:dyDescent="0.25">
      <c r="A87" s="113" t="s">
        <v>139</v>
      </c>
      <c r="B87" s="4"/>
      <c r="C87" s="4"/>
      <c r="D87" s="4"/>
      <c r="E87" s="4"/>
      <c r="F87" s="5"/>
      <c r="G87" s="121"/>
      <c r="H87" s="115"/>
      <c r="I87" s="116"/>
      <c r="J87" s="117"/>
      <c r="K87" s="4"/>
      <c r="L87" s="4"/>
      <c r="M87" s="36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" customHeight="1" spans="1:26" x14ac:dyDescent="0.25">
      <c r="A88" s="118" t="s">
        <v>140</v>
      </c>
      <c r="B88" s="4"/>
      <c r="C88" s="4"/>
      <c r="D88" s="4"/>
      <c r="E88" s="4"/>
      <c r="F88" s="5"/>
      <c r="G88" s="121"/>
      <c r="H88" s="115"/>
      <c r="I88" s="116"/>
      <c r="J88" s="117"/>
      <c r="K88" s="4"/>
      <c r="L88" s="4"/>
      <c r="M88" s="36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" customHeight="1" spans="1:26" x14ac:dyDescent="0.25">
      <c r="A89" s="136" t="s">
        <v>141</v>
      </c>
      <c r="B89" s="137"/>
      <c r="C89" s="137"/>
      <c r="D89" s="137"/>
      <c r="E89" s="137"/>
      <c r="F89" s="40"/>
      <c r="G89" s="138"/>
      <c r="H89" s="139"/>
      <c r="I89" s="140"/>
      <c r="J89" s="141"/>
      <c r="K89" s="137"/>
      <c r="L89" s="137"/>
      <c r="M89" s="14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" customHeight="1" spans="1:26" x14ac:dyDescent="0.25">
      <c r="A90" s="73"/>
      <c r="B90" s="73"/>
      <c r="C90" s="73"/>
      <c r="D90" s="73"/>
      <c r="E90" s="73"/>
      <c r="F90" s="143" t="s">
        <v>142</v>
      </c>
      <c r="G90" s="144"/>
      <c r="H90" s="145">
        <f t="shared" ref="H90:I90" si="0">SUM(H27:H89)</f>
        <v>2</v>
      </c>
      <c r="I90" s="145">
        <f t="shared" si="0"/>
        <v>2</v>
      </c>
      <c r="J90" s="146" t="str">
        <f>IF(M3 = TRUE,IF(AND(H90 &lt;= VLOOKUP(F108,B95:G103,3,TRUE), I90 &lt;= VLOOKUP(F108,B95:G103,5,TRUE)), "Pass", "Fail"),IF(AND(H90 &lt;= VLOOKUP(O108,K95:O103,3,TRUE), I90 &lt;= VLOOKUP(O108,K95:O103,5,TRUE)), "Pass", "Fail"))</f>
        <v>Pass</v>
      </c>
      <c r="K90" s="73"/>
      <c r="L90" s="73"/>
      <c r="M90" s="73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.5" customHeight="1" spans="1:26" x14ac:dyDescent="0.25">
      <c r="A91" s="147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49" t="s">
        <v>143</v>
      </c>
      <c r="B92" s="62"/>
      <c r="C92" s="62"/>
      <c r="D92" s="62"/>
      <c r="E92" s="62"/>
      <c r="F92" s="62"/>
      <c r="G92" s="150"/>
      <c r="H92" s="147"/>
      <c r="I92" s="73"/>
      <c r="J92" s="149" t="s">
        <v>144</v>
      </c>
      <c r="K92" s="62"/>
      <c r="L92" s="62"/>
      <c r="M92" s="62"/>
      <c r="N92" s="62"/>
      <c r="O92" s="62"/>
      <c r="P92" s="150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 spans="1:26" x14ac:dyDescent="0.25">
      <c r="A93" s="151" t="s">
        <v>145</v>
      </c>
      <c r="B93" s="152" t="s">
        <v>146</v>
      </c>
      <c r="C93" s="5"/>
      <c r="D93" s="153" t="s">
        <v>147</v>
      </c>
      <c r="E93" s="5"/>
      <c r="F93" s="153" t="s">
        <v>148</v>
      </c>
      <c r="G93" s="36"/>
      <c r="H93" s="7"/>
      <c r="I93" s="7"/>
      <c r="J93" s="151" t="s">
        <v>145</v>
      </c>
      <c r="K93" s="152" t="s">
        <v>146</v>
      </c>
      <c r="L93" s="5"/>
      <c r="M93" s="153" t="s">
        <v>149</v>
      </c>
      <c r="N93" s="5"/>
      <c r="O93" s="153" t="s">
        <v>150</v>
      </c>
      <c r="P93" s="36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9.75" customHeight="1" spans="1:26" x14ac:dyDescent="0.25">
      <c r="A94" s="154"/>
      <c r="B94" s="93"/>
      <c r="C94" s="5"/>
      <c r="D94" s="155" t="s">
        <v>151</v>
      </c>
      <c r="E94" s="155" t="s">
        <v>152</v>
      </c>
      <c r="F94" s="155" t="s">
        <v>151</v>
      </c>
      <c r="G94" s="156" t="s">
        <v>152</v>
      </c>
      <c r="H94" s="157">
        <v>51</v>
      </c>
      <c r="I94" s="158">
        <v>13</v>
      </c>
      <c r="J94" s="154"/>
      <c r="K94" s="93"/>
      <c r="L94" s="5"/>
      <c r="M94" s="155" t="s">
        <v>151</v>
      </c>
      <c r="N94" s="155" t="s">
        <v>152</v>
      </c>
      <c r="O94" s="155" t="s">
        <v>151</v>
      </c>
      <c r="P94" s="156" t="s">
        <v>152</v>
      </c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 spans="1:26" x14ac:dyDescent="0.25">
      <c r="A95" s="159" t="s">
        <v>153</v>
      </c>
      <c r="B95" s="160">
        <v>13</v>
      </c>
      <c r="C95" s="5"/>
      <c r="D95" s="161">
        <v>0</v>
      </c>
      <c r="E95" s="161">
        <v>1</v>
      </c>
      <c r="F95" s="161">
        <v>0</v>
      </c>
      <c r="G95" s="162">
        <v>1</v>
      </c>
      <c r="H95" s="157">
        <v>91</v>
      </c>
      <c r="I95" s="158">
        <v>20</v>
      </c>
      <c r="J95" s="159" t="s">
        <v>153</v>
      </c>
      <c r="K95" s="160">
        <v>13</v>
      </c>
      <c r="L95" s="5"/>
      <c r="M95" s="161">
        <v>1</v>
      </c>
      <c r="N95" s="161">
        <v>2</v>
      </c>
      <c r="O95" s="161">
        <v>1</v>
      </c>
      <c r="P95" s="161">
        <v>2</v>
      </c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 spans="1:26" x14ac:dyDescent="0.25">
      <c r="A96" s="159" t="s">
        <v>154</v>
      </c>
      <c r="B96" s="160">
        <v>20</v>
      </c>
      <c r="C96" s="5"/>
      <c r="D96" s="161">
        <v>1</v>
      </c>
      <c r="E96" s="161">
        <v>2</v>
      </c>
      <c r="F96" s="161">
        <v>1</v>
      </c>
      <c r="G96" s="162">
        <v>2</v>
      </c>
      <c r="H96" s="157">
        <v>151</v>
      </c>
      <c r="I96" s="158">
        <v>32</v>
      </c>
      <c r="J96" s="159" t="s">
        <v>154</v>
      </c>
      <c r="K96" s="160">
        <v>20</v>
      </c>
      <c r="L96" s="5"/>
      <c r="M96" s="161">
        <v>1</v>
      </c>
      <c r="N96" s="161">
        <v>2</v>
      </c>
      <c r="O96" s="161">
        <v>1</v>
      </c>
      <c r="P96" s="161">
        <v>2</v>
      </c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 spans="1:26" x14ac:dyDescent="0.25">
      <c r="A97" s="159" t="s">
        <v>155</v>
      </c>
      <c r="B97" s="160">
        <v>32</v>
      </c>
      <c r="C97" s="5"/>
      <c r="D97" s="76">
        <v>2</v>
      </c>
      <c r="E97" s="76">
        <v>3</v>
      </c>
      <c r="F97" s="76">
        <v>2</v>
      </c>
      <c r="G97" s="77">
        <v>3</v>
      </c>
      <c r="H97" s="157">
        <v>281</v>
      </c>
      <c r="I97" s="158">
        <v>50</v>
      </c>
      <c r="J97" s="159" t="s">
        <v>155</v>
      </c>
      <c r="K97" s="160">
        <v>32</v>
      </c>
      <c r="L97" s="5"/>
      <c r="M97" s="76">
        <v>2</v>
      </c>
      <c r="N97" s="76">
        <v>3</v>
      </c>
      <c r="O97" s="76">
        <v>2</v>
      </c>
      <c r="P97" s="76">
        <v>3</v>
      </c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 spans="1:26" x14ac:dyDescent="0.25">
      <c r="A98" s="159" t="s">
        <v>156</v>
      </c>
      <c r="B98" s="160">
        <v>50</v>
      </c>
      <c r="C98" s="5"/>
      <c r="D98" s="76">
        <v>3</v>
      </c>
      <c r="E98" s="76">
        <v>4</v>
      </c>
      <c r="F98" s="76">
        <v>3</v>
      </c>
      <c r="G98" s="77">
        <v>4</v>
      </c>
      <c r="H98" s="157">
        <v>501</v>
      </c>
      <c r="I98" s="158">
        <v>80</v>
      </c>
      <c r="J98" s="159" t="s">
        <v>156</v>
      </c>
      <c r="K98" s="160">
        <v>50</v>
      </c>
      <c r="L98" s="5"/>
      <c r="M98" s="76">
        <v>3</v>
      </c>
      <c r="N98" s="76">
        <v>4</v>
      </c>
      <c r="O98" s="76">
        <v>3</v>
      </c>
      <c r="P98" s="76">
        <v>4</v>
      </c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 spans="1:26" x14ac:dyDescent="0.25">
      <c r="A99" s="154" t="s">
        <v>157</v>
      </c>
      <c r="B99" s="160">
        <v>80</v>
      </c>
      <c r="C99" s="5"/>
      <c r="D99" s="76">
        <v>5</v>
      </c>
      <c r="E99" s="76">
        <v>6</v>
      </c>
      <c r="F99" s="76">
        <v>5</v>
      </c>
      <c r="G99" s="77">
        <v>6</v>
      </c>
      <c r="H99" s="157">
        <v>1201</v>
      </c>
      <c r="I99" s="158">
        <v>125</v>
      </c>
      <c r="J99" s="154" t="s">
        <v>157</v>
      </c>
      <c r="K99" s="160">
        <v>80</v>
      </c>
      <c r="L99" s="5"/>
      <c r="M99" s="76">
        <v>5</v>
      </c>
      <c r="N99" s="76">
        <v>6</v>
      </c>
      <c r="O99" s="76">
        <v>5</v>
      </c>
      <c r="P99" s="76">
        <v>6</v>
      </c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 spans="1:26" x14ac:dyDescent="0.25">
      <c r="A100" s="154" t="s">
        <v>158</v>
      </c>
      <c r="B100" s="160">
        <v>125</v>
      </c>
      <c r="C100" s="5"/>
      <c r="D100" s="76">
        <v>7</v>
      </c>
      <c r="E100" s="76">
        <v>8</v>
      </c>
      <c r="F100" s="76">
        <v>7</v>
      </c>
      <c r="G100" s="77">
        <v>8</v>
      </c>
      <c r="H100" s="157">
        <v>3201</v>
      </c>
      <c r="I100" s="163">
        <v>200</v>
      </c>
      <c r="J100" s="154" t="s">
        <v>158</v>
      </c>
      <c r="K100" s="160">
        <v>125</v>
      </c>
      <c r="L100" s="5"/>
      <c r="M100" s="76">
        <v>7</v>
      </c>
      <c r="N100" s="76">
        <v>8</v>
      </c>
      <c r="O100" s="76">
        <v>7</v>
      </c>
      <c r="P100" s="76">
        <v>8</v>
      </c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 spans="1:26" x14ac:dyDescent="0.25">
      <c r="A101" s="154" t="s">
        <v>159</v>
      </c>
      <c r="B101" s="160">
        <v>200</v>
      </c>
      <c r="C101" s="5"/>
      <c r="D101" s="76">
        <v>10</v>
      </c>
      <c r="E101" s="76">
        <v>11</v>
      </c>
      <c r="F101" s="76">
        <v>10</v>
      </c>
      <c r="G101" s="77">
        <v>11</v>
      </c>
      <c r="H101" s="157">
        <v>10001</v>
      </c>
      <c r="I101" s="158">
        <v>315</v>
      </c>
      <c r="J101" s="154" t="s">
        <v>159</v>
      </c>
      <c r="K101" s="160">
        <v>200</v>
      </c>
      <c r="L101" s="5"/>
      <c r="M101" s="76">
        <v>10</v>
      </c>
      <c r="N101" s="76">
        <v>11</v>
      </c>
      <c r="O101" s="76">
        <v>10</v>
      </c>
      <c r="P101" s="76">
        <v>11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 spans="1:26" x14ac:dyDescent="0.25">
      <c r="A102" s="159" t="s">
        <v>160</v>
      </c>
      <c r="B102" s="160">
        <v>315</v>
      </c>
      <c r="C102" s="5"/>
      <c r="D102" s="161">
        <v>14</v>
      </c>
      <c r="E102" s="161">
        <v>15</v>
      </c>
      <c r="F102" s="161">
        <v>14</v>
      </c>
      <c r="G102" s="162">
        <v>15</v>
      </c>
      <c r="H102" s="157">
        <v>35001</v>
      </c>
      <c r="I102" s="158">
        <v>500</v>
      </c>
      <c r="J102" s="159" t="s">
        <v>160</v>
      </c>
      <c r="K102" s="160">
        <v>315</v>
      </c>
      <c r="L102" s="5"/>
      <c r="M102" s="161">
        <v>14</v>
      </c>
      <c r="N102" s="161">
        <v>15</v>
      </c>
      <c r="O102" s="161">
        <v>14</v>
      </c>
      <c r="P102" s="161">
        <v>15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 spans="1:26" x14ac:dyDescent="0.25">
      <c r="A103" s="159" t="s">
        <v>161</v>
      </c>
      <c r="B103" s="160">
        <v>500</v>
      </c>
      <c r="C103" s="5"/>
      <c r="D103" s="161">
        <v>21</v>
      </c>
      <c r="E103" s="161">
        <v>22</v>
      </c>
      <c r="F103" s="161">
        <v>21</v>
      </c>
      <c r="G103" s="162">
        <v>22</v>
      </c>
      <c r="H103" s="7"/>
      <c r="I103" s="7"/>
      <c r="J103" s="159" t="s">
        <v>161</v>
      </c>
      <c r="K103" s="160">
        <v>500</v>
      </c>
      <c r="L103" s="5"/>
      <c r="M103" s="161">
        <v>21</v>
      </c>
      <c r="N103" s="161">
        <v>22</v>
      </c>
      <c r="O103" s="161">
        <v>21</v>
      </c>
      <c r="P103" s="161">
        <v>22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 spans="1:26" x14ac:dyDescent="0.25">
      <c r="A104" s="164" t="s">
        <v>162</v>
      </c>
      <c r="B104" s="4"/>
      <c r="C104" s="4"/>
      <c r="D104" s="4"/>
      <c r="E104" s="4"/>
      <c r="F104" s="4"/>
      <c r="G104" s="36"/>
      <c r="H104" s="7"/>
      <c r="I104" s="7"/>
      <c r="J104" s="164" t="s">
        <v>162</v>
      </c>
      <c r="K104" s="4"/>
      <c r="L104" s="4"/>
      <c r="M104" s="4"/>
      <c r="N104" s="4"/>
      <c r="O104" s="4"/>
      <c r="P104" s="3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 spans="1:26" x14ac:dyDescent="0.25">
      <c r="A105" s="165" t="s">
        <v>163</v>
      </c>
      <c r="B105" s="166"/>
      <c r="C105" s="160" t="s">
        <v>164</v>
      </c>
      <c r="D105" s="4"/>
      <c r="E105" s="4"/>
      <c r="F105" s="4"/>
      <c r="G105" s="36"/>
      <c r="H105" s="7"/>
      <c r="I105" s="7"/>
      <c r="J105" s="165" t="s">
        <v>163</v>
      </c>
      <c r="K105" s="166"/>
      <c r="L105" s="160" t="s">
        <v>164</v>
      </c>
      <c r="M105" s="4"/>
      <c r="N105" s="4"/>
      <c r="O105" s="4"/>
      <c r="P105" s="36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 spans="1:26" x14ac:dyDescent="0.25">
      <c r="A106" s="165" t="s">
        <v>165</v>
      </c>
      <c r="B106" s="166"/>
      <c r="C106" s="160" t="s">
        <v>166</v>
      </c>
      <c r="D106" s="4"/>
      <c r="E106" s="5"/>
      <c r="F106" s="117">
        <f>IF(M3 = TRUE, VLOOKUP(F108,B95:E103,3,0), 0)</f>
        <v>0</v>
      </c>
      <c r="G106" s="36"/>
      <c r="H106" s="7"/>
      <c r="I106" s="7"/>
      <c r="J106" s="165" t="s">
        <v>165</v>
      </c>
      <c r="K106" s="166"/>
      <c r="L106" s="160" t="s">
        <v>166</v>
      </c>
      <c r="M106" s="4"/>
      <c r="N106" s="5"/>
      <c r="O106" s="117">
        <f>IF(M3 = FALSE,VLOOKUP(O108,K95:P103,3,0),0)</f>
        <v>14</v>
      </c>
      <c r="P106" s="36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 spans="1:26" x14ac:dyDescent="0.25">
      <c r="A107" s="165" t="s">
        <v>167</v>
      </c>
      <c r="B107" s="91"/>
      <c r="C107" s="160" t="s">
        <v>168</v>
      </c>
      <c r="D107" s="4"/>
      <c r="E107" s="5"/>
      <c r="F107" s="117">
        <f>IF(M3 = TRUE,VLOOKUP(F108,B95:F103,5,0), 0)</f>
        <v>0</v>
      </c>
      <c r="G107" s="36"/>
      <c r="H107" s="7"/>
      <c r="I107" s="7"/>
      <c r="J107" s="165" t="s">
        <v>167</v>
      </c>
      <c r="K107" s="91"/>
      <c r="L107" s="160" t="s">
        <v>168</v>
      </c>
      <c r="M107" s="4"/>
      <c r="N107" s="5"/>
      <c r="O107" s="117">
        <f>IF(M3 = FALSE,VLOOKUP(O108,K95:P103,5,0),0)</f>
        <v>14</v>
      </c>
      <c r="P107" s="3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 spans="1:26" x14ac:dyDescent="0.25">
      <c r="A108" s="167" t="s">
        <v>169</v>
      </c>
      <c r="B108" s="137"/>
      <c r="C108" s="137"/>
      <c r="D108" s="137"/>
      <c r="E108" s="40"/>
      <c r="F108" s="141">
        <f>E5</f>
        <v>315</v>
      </c>
      <c r="G108" s="142"/>
      <c r="H108" s="7"/>
      <c r="I108" s="7"/>
      <c r="J108" s="167" t="s">
        <v>169</v>
      </c>
      <c r="K108" s="137"/>
      <c r="L108" s="137"/>
      <c r="M108" s="137"/>
      <c r="N108" s="40"/>
      <c r="O108" s="141">
        <f>E5</f>
        <v>315</v>
      </c>
      <c r="P108" s="142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9.75" customHeight="1" spans="1:26" x14ac:dyDescent="0.25">
      <c r="A109" s="73" t="b">
        <v>0</v>
      </c>
      <c r="B109" s="168" t="s">
        <v>170</v>
      </c>
      <c r="C109" s="73"/>
      <c r="D109" s="73" t="s">
        <v>171</v>
      </c>
      <c r="E109" s="7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0.75" customHeight="1" spans="1:26" x14ac:dyDescent="0.25">
      <c r="A110" s="71" t="b">
        <v>0</v>
      </c>
      <c r="B110" s="73"/>
      <c r="C110" s="73"/>
      <c r="D110" s="169"/>
      <c r="E110" s="7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9.75" customHeight="1" spans="1:26" x14ac:dyDescent="0.25">
      <c r="A111" s="71" t="b">
        <v>0</v>
      </c>
      <c r="B111" s="73" t="s">
        <v>172</v>
      </c>
      <c r="C111" s="73"/>
      <c r="D111" s="169" t="s">
        <v>173</v>
      </c>
      <c r="E111" s="73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.5" customHeight="1" spans="1:26" x14ac:dyDescent="0.25">
      <c r="A112" s="71" t="b">
        <v>0</v>
      </c>
      <c r="B112" s="73"/>
      <c r="C112" s="73"/>
      <c r="D112" s="73"/>
      <c r="E112" s="7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9.75" customHeight="1" spans="1:26" x14ac:dyDescent="0.25">
      <c r="A113" s="73" t="b">
        <v>0</v>
      </c>
      <c r="B113" s="73" t="s">
        <v>174</v>
      </c>
      <c r="C113" s="73"/>
      <c r="D113" s="73"/>
      <c r="E113" s="7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9.75" customHeight="1" spans="1:26" x14ac:dyDescent="0.25">
      <c r="A114" s="73" t="b">
        <v>0</v>
      </c>
      <c r="B114" s="73" t="s">
        <v>175</v>
      </c>
      <c r="C114" s="73"/>
      <c r="D114" s="73"/>
      <c r="E114" s="73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0.75" customHeight="1" spans="1:26" x14ac:dyDescent="0.25">
      <c r="A115" s="73"/>
      <c r="B115" s="73"/>
      <c r="C115" s="73"/>
      <c r="D115" s="73"/>
      <c r="E115" s="73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9.75" customHeight="1" spans="1:26" x14ac:dyDescent="0.25">
      <c r="A116" s="56" t="s">
        <v>176</v>
      </c>
      <c r="B116" s="56"/>
      <c r="C116" s="56"/>
      <c r="D116" s="7"/>
      <c r="E116" s="7"/>
      <c r="F116" s="56" t="s">
        <v>177</v>
      </c>
      <c r="G116" s="148"/>
      <c r="H116" s="56"/>
      <c r="I116" s="7"/>
      <c r="J116" s="7"/>
      <c r="K116" s="7"/>
      <c r="L116" s="7"/>
      <c r="M116" s="170" t="s">
        <v>178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2.5" customHeight="1" spans="1:26" x14ac:dyDescent="0.25">
      <c r="A117" s="171"/>
      <c r="B117" s="171"/>
      <c r="C117" s="171"/>
      <c r="D117" s="171"/>
      <c r="E117" s="171"/>
      <c r="F117" s="171"/>
      <c r="G117" s="17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7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7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7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7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7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7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7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7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7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7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7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7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7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9.7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7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7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7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7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7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7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7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7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9.7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7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7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7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7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7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7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7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7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7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7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7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7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9.7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7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7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7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9.7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7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7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7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7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7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7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7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7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7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9.7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7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7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7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7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7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7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7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9.7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9.7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7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9.7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7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7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7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7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7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7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7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7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7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7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7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7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7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7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7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7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7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7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7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7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7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7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7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7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7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7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7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7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7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7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7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7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7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7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7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7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7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7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7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7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9.7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9.7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9.7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9.7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9.7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9.7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9.7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9.7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9.7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9.7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9.7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9.7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9.7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9.7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9.7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9.7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9.7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9.7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9.7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9.7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9.7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9.7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9.7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9.7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9.7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9.7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9.7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9.7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9.7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9.7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9.7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9.7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9.7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9.7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9.7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9.7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9.7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9.7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9.7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9.7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9.7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9.7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9.7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9.7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9.7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9.7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9.7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9.7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9.7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9.7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9.7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9.7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9.7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9.7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9.7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9.7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9.7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9.7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9.7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9.7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9.7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9.7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9.7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9.7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9.7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9.7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9.7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9.7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9.7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9.7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9.7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9.7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9.7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9.7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9.7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9.7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9.7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9.7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9.7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9.7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9.7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9.7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9.7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9.7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9.7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9.7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9.7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9.7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9.7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9.7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9.7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9.7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9.7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9.7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9.7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9.7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9.7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9.7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9.7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9.7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9.7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9.7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9.7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9.7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9.7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9.7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9.7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9.7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9.7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9.7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9.7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9.7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9.7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9.7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9.7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9.7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9.7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9.7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9.7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9.7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9.7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9.7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9.7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9.7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9.7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9.7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9.7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9.7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9.7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9.7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9.7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9.7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9.7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9.7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9.7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9.7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9.7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9.7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9.7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9.7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9.7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9.7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9.7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9.7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9.7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9.7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9.7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9.7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9.7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9.7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9.7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9.7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9.7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9.7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9.7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9.7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9.7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9.7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9.7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9.7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9.7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9.7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9.7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9.7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9.7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9.7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9.7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9.7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9.7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9.7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9.7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9.7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9.7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9.7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9.7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9.7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9.7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9.7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9.7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9.7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9.7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9.7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9.7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9.7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9.7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9.7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9.7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9.7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9.7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9.7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9.7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9.7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9.7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9.7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9.7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9.7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9.7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9.7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9.7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9.7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9.7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9.7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9.7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9.7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9.7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9.7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9.7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9.7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9.7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9.7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9.7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9.7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9.7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9.7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9.7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9.7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9.7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9.7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9.7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9.7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9.7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9.7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9.7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9.7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9.7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9.7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9.7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9.7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9.7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9.7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9.7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9.7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9.7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9.7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9.7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9.7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9.7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9.7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9.7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9.7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9.7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9.7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9.7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9.7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9.7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9.7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9.7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9.7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9.7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9.7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9.7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9.7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9.7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9.7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9.7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9.7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9.7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9.7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9.7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9.7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9.7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9.7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9.7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9.7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9.7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9.7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9.7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9.7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9.7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9.7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9.7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9.7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9.7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9.7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9.7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9.7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9.7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9.7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9.7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9.7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9.7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9.7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9.7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9.7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9.7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9.7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9.7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9.7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9.7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9.7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9.7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9.7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9.7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9.7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9.7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9.7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9.7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9.7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9.7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9.7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9.7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9.7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9.7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9.7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9.7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9.7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9.7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9.7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9.7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9.7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9.7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9.7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9.7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9.7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9.7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9.7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9.7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9.7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9.7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9.7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9.7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9.7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9.7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9.7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9.7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9.7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9.7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9.7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9.7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9.7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9.7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9.7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9.7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9.7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9.7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9.7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9.7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9.7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9.7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9.7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9.7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9.7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9.7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9.7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9.7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9.7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9.7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9.7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9.7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9.7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9.7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9.7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9.7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9.7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9.7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9.7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9.7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9.7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9.7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9.7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9.7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9.7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9.7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9.7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9.7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9.7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9.7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9.7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9.7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9.7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9.7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9.7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9.7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9.7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9.7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9.7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9.7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9.7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9.7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9.7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9.7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9.7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9.7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9.7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9.7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9.7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9.7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9.7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9.7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9.7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9.7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9.7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9.7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9.7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9.7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9.7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9.7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9.7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9.7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9.7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9.7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9.7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9.7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9.7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9.7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9.7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9.7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9.7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9.7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9.7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9.7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9.7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9.7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9.7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9.7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9.7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9.7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9.7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9.7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9.7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9.7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9.7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9.7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9.7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9.7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9.7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9.7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9.7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9.7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9.7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9.7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9.7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9.7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9.7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9.7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9.7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9.7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9.7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9.7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9.7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9.7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9.7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9.7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9.7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9.7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9.7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9.7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9.7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9.7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9.7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9.7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9.7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9.7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9.7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9.7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9.7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9.7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9.7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9.7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9.7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9.7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9.7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9.7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9.7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9.7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9.7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9.7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9.7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9.7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9.7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9.7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9.7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9.7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9.7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9.7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9.7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9.7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9.7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9.7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9.7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9.7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9.7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9.7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9.7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9.7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9.7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9.7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9.7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9.7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9.7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9.7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9.7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9.7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9.7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9.7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9.7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9.7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9.7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9.7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9.7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9.7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9.7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9.7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9.7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9.7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9.7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9.7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9.7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9.7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9.7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9.7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9.7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9.7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9.7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9.7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9.7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9.7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9.7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9.7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9.7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9.7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9.7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9.7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9.7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9.7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9.7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9.7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9.7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9.7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9.7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9.7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9.7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9.7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9.7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9.7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9.7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9.7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9.7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9.7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9.7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9.7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9.7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9.7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9.7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9.7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9.7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9.7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9.7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9.7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9.7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9.7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9.7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9.7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9.7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9.7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9.7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9.7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9.7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9.7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9.7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9.7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9.7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9.7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9.7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9.7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9.7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9.7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9.7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9.7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9.7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9.7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9.7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9.7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9.7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9.7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9.7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9.7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9.7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9.7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9.7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9.7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9.7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9.7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9.7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9.7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9.7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9.7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9.7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9.7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9.7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9.7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9.7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9.7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9.7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9.7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9.7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9.7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9.7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9.7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9.7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9.7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9.7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9.7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9.7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9.7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9.7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9.7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9.7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9.7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9.7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9.7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9.7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9.7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9.7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9.7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9.7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9.7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9.7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9.7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9.7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9.7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9.7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9.7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9.7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9.7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9.7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9.7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9.7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9.7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9.7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9.7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9.7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9.7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9.7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9.7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9.7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9.7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9.7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9.7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9.7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9.7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9.7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9.7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9.7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9.7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9.7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9.7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9.7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9.7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9.7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9.7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9.7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9.7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9.7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9.7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9.7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9.7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9.7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9.7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9.7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9.7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9.7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9.7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9.7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9.7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9.7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9.7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9.7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9.7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9.7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9.7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9.7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9.7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9.7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9.7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9.7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9.7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9.7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9.7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9.7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9.7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9.7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9.7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9.7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9.7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9.7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9.7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9.7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9.7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9.7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9.7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9.7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9.7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9.7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9.7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9.7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9.7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9.7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9.7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9.7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9.7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9.7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9.7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9.7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9.7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9.7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9.7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9.7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9.7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9.7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9.7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9.7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9.7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9.7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9.7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9.7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9.7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9.7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9.7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9.7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9.7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9.7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9.7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9.7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9.7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9.7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9.7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9.7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9.7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9.7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9.7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9.7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9.7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9.7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9.7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9.7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9.7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9.7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9.7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9.7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9.7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9.7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9.75" customHeight="1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9.75" customHeight="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9.75" customHeight="1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9.75" customHeight="1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9.75" customHeight="1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9.75" customHeight="1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9.75" customHeight="1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9.75" customHeight="1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9.75" customHeight="1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9.75" customHeight="1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9.75" customHeight="1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9.75" customHeight="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9.75" customHeight="1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9.75" customHeight="1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9.75" customHeight="1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9.75" customHeight="1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9.75" customHeight="1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9.75" customHeight="1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9.75" customHeight="1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9.75" customHeight="1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9.75" customHeight="1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9.75" customHeight="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9.75" customHeight="1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9.75" customHeight="1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9.75" customHeight="1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9.75" customHeight="1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9.75" customHeight="1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9.75" customHeight="1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9.75" customHeight="1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9.75" customHeight="1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9.75" customHeight="1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8">
    <mergeCell ref="A2:M2"/>
    <mergeCell ref="K3:L3"/>
    <mergeCell ref="F5:G5"/>
    <mergeCell ref="J5:K5"/>
    <mergeCell ref="B6:D6"/>
    <mergeCell ref="E6:H6"/>
    <mergeCell ref="I6:M6"/>
    <mergeCell ref="B7:C7"/>
    <mergeCell ref="D7:E7"/>
    <mergeCell ref="F7:G7"/>
    <mergeCell ref="H7:I7"/>
    <mergeCell ref="J7:K7"/>
    <mergeCell ref="A9:D9"/>
    <mergeCell ref="E9:H9"/>
    <mergeCell ref="I10:K10"/>
    <mergeCell ref="I11:K11"/>
    <mergeCell ref="I15:K15"/>
    <mergeCell ref="A17:D17"/>
    <mergeCell ref="I19:K19"/>
    <mergeCell ref="I20:K20"/>
    <mergeCell ref="I21:K21"/>
    <mergeCell ref="I22:K22"/>
    <mergeCell ref="I23:K23"/>
    <mergeCell ref="I24:K24"/>
    <mergeCell ref="I25:K25"/>
    <mergeCell ref="A26:F26"/>
    <mergeCell ref="J26:M26"/>
    <mergeCell ref="A27:F27"/>
    <mergeCell ref="J27:M27"/>
    <mergeCell ref="A28:F28"/>
    <mergeCell ref="J28:M28"/>
    <mergeCell ref="A29:F29"/>
    <mergeCell ref="A30:F30"/>
    <mergeCell ref="J30:M30"/>
    <mergeCell ref="A31:F31"/>
    <mergeCell ref="J31:M31"/>
    <mergeCell ref="A32:F32"/>
    <mergeCell ref="J32:M32"/>
    <mergeCell ref="A33:F33"/>
    <mergeCell ref="J33:M33"/>
    <mergeCell ref="A34:F34"/>
    <mergeCell ref="J34:M34"/>
    <mergeCell ref="A35:F35"/>
    <mergeCell ref="J35:M35"/>
    <mergeCell ref="A36:F36"/>
    <mergeCell ref="J36:M36"/>
    <mergeCell ref="A37:F37"/>
    <mergeCell ref="J37:M37"/>
    <mergeCell ref="A38:F38"/>
    <mergeCell ref="J38:M38"/>
    <mergeCell ref="A39:F39"/>
    <mergeCell ref="J39:M39"/>
    <mergeCell ref="A40:F40"/>
    <mergeCell ref="J40:M40"/>
    <mergeCell ref="A41:F41"/>
    <mergeCell ref="J41:M41"/>
    <mergeCell ref="A42:F42"/>
    <mergeCell ref="J42:M42"/>
    <mergeCell ref="A43:F43"/>
    <mergeCell ref="J43:M43"/>
    <mergeCell ref="A44:F44"/>
    <mergeCell ref="J44:M44"/>
    <mergeCell ref="A45:F45"/>
    <mergeCell ref="J45:M45"/>
    <mergeCell ref="A46:F46"/>
    <mergeCell ref="J46:M46"/>
    <mergeCell ref="A47:F47"/>
    <mergeCell ref="J47:M47"/>
    <mergeCell ref="A48:F48"/>
    <mergeCell ref="J48:M48"/>
    <mergeCell ref="A49:F49"/>
    <mergeCell ref="J49:M49"/>
    <mergeCell ref="A50:F50"/>
    <mergeCell ref="J50:M50"/>
    <mergeCell ref="A51:F51"/>
    <mergeCell ref="J51:M51"/>
    <mergeCell ref="A52:F52"/>
    <mergeCell ref="J52:M52"/>
    <mergeCell ref="A53:F53"/>
    <mergeCell ref="J53:M53"/>
    <mergeCell ref="A54:F54"/>
    <mergeCell ref="J54:M54"/>
    <mergeCell ref="A55:F55"/>
    <mergeCell ref="J55:M55"/>
    <mergeCell ref="A56:F56"/>
    <mergeCell ref="J56:M56"/>
    <mergeCell ref="A57:F57"/>
    <mergeCell ref="J57:M57"/>
    <mergeCell ref="A58:F58"/>
    <mergeCell ref="J58:M58"/>
    <mergeCell ref="A59:F59"/>
    <mergeCell ref="J59:M59"/>
    <mergeCell ref="A60:F60"/>
    <mergeCell ref="J60:M60"/>
    <mergeCell ref="A61:F61"/>
    <mergeCell ref="J61:M61"/>
    <mergeCell ref="A62:F62"/>
    <mergeCell ref="J62:M62"/>
    <mergeCell ref="A63:F63"/>
    <mergeCell ref="J63:M63"/>
    <mergeCell ref="A64:F64"/>
    <mergeCell ref="J64:M64"/>
    <mergeCell ref="A65:F65"/>
    <mergeCell ref="J65:M65"/>
    <mergeCell ref="A66:F66"/>
    <mergeCell ref="J66:M66"/>
    <mergeCell ref="A67:F67"/>
    <mergeCell ref="J67:M67"/>
    <mergeCell ref="A68:F68"/>
    <mergeCell ref="J68:M68"/>
    <mergeCell ref="A69:F69"/>
    <mergeCell ref="J69:M69"/>
    <mergeCell ref="A70:F70"/>
    <mergeCell ref="J70:M70"/>
    <mergeCell ref="A71:F71"/>
    <mergeCell ref="J71:M71"/>
    <mergeCell ref="A72:F72"/>
    <mergeCell ref="J72:M72"/>
    <mergeCell ref="A73:F73"/>
    <mergeCell ref="J73:M73"/>
    <mergeCell ref="A74:F74"/>
    <mergeCell ref="J74:M74"/>
    <mergeCell ref="A75:F75"/>
    <mergeCell ref="J75:M75"/>
    <mergeCell ref="A76:F76"/>
    <mergeCell ref="J76:M76"/>
    <mergeCell ref="A77:F77"/>
    <mergeCell ref="J77:M77"/>
    <mergeCell ref="A78:F78"/>
    <mergeCell ref="J78:M78"/>
    <mergeCell ref="A79:F79"/>
    <mergeCell ref="J79:M79"/>
    <mergeCell ref="A80:F80"/>
    <mergeCell ref="J80:M80"/>
    <mergeCell ref="A81:F81"/>
    <mergeCell ref="J81:M81"/>
    <mergeCell ref="A82:F82"/>
    <mergeCell ref="J82:M82"/>
    <mergeCell ref="A83:F83"/>
    <mergeCell ref="J83:M83"/>
    <mergeCell ref="A84:F84"/>
    <mergeCell ref="J84:M84"/>
    <mergeCell ref="A85:F85"/>
    <mergeCell ref="J85:M85"/>
    <mergeCell ref="A86:F86"/>
    <mergeCell ref="J86:M86"/>
    <mergeCell ref="A87:F87"/>
    <mergeCell ref="J87:M87"/>
    <mergeCell ref="A88:F88"/>
    <mergeCell ref="J88:M88"/>
    <mergeCell ref="A89:F89"/>
    <mergeCell ref="J89:M89"/>
    <mergeCell ref="A91:M91"/>
    <mergeCell ref="A92:G92"/>
    <mergeCell ref="J92:P92"/>
    <mergeCell ref="B93:C93"/>
    <mergeCell ref="D93:E93"/>
    <mergeCell ref="F93:G93"/>
    <mergeCell ref="K93:L93"/>
    <mergeCell ref="M93:N93"/>
    <mergeCell ref="O93:P93"/>
    <mergeCell ref="B94:C94"/>
    <mergeCell ref="K94:L94"/>
    <mergeCell ref="B95:C95"/>
    <mergeCell ref="K95:L95"/>
    <mergeCell ref="B96:C96"/>
    <mergeCell ref="K96:L96"/>
    <mergeCell ref="B97:C97"/>
    <mergeCell ref="K97:L97"/>
    <mergeCell ref="B98:C98"/>
    <mergeCell ref="K98:L98"/>
    <mergeCell ref="B99:C99"/>
    <mergeCell ref="K99:L99"/>
    <mergeCell ref="B100:C100"/>
    <mergeCell ref="K100:L100"/>
    <mergeCell ref="B101:C101"/>
    <mergeCell ref="K101:L101"/>
    <mergeCell ref="B102:C102"/>
    <mergeCell ref="K102:L102"/>
    <mergeCell ref="B103:C103"/>
    <mergeCell ref="K103:L103"/>
    <mergeCell ref="A104:G104"/>
    <mergeCell ref="J104:P104"/>
    <mergeCell ref="C105:G105"/>
    <mergeCell ref="L105:P105"/>
    <mergeCell ref="C106:E106"/>
    <mergeCell ref="F106:G106"/>
    <mergeCell ref="L106:N106"/>
    <mergeCell ref="O106:P106"/>
    <mergeCell ref="C107:E107"/>
    <mergeCell ref="F107:G107"/>
    <mergeCell ref="L107:N107"/>
    <mergeCell ref="O107:P107"/>
    <mergeCell ref="A108:E108"/>
    <mergeCell ref="F108:G108"/>
    <mergeCell ref="J108:N108"/>
    <mergeCell ref="O108:P108"/>
    <mergeCell ref="F116:G116"/>
  </mergeCells>
  <conditionalFormatting sqref="B105:B106">
    <cfRule type="cellIs" dxfId="0" priority="1" operator="greaterThan">
      <formula>$E$106</formula>
    </cfRule>
  </conditionalFormatting>
  <conditionalFormatting sqref="B107">
    <cfRule type="cellIs" dxfId="1" priority="2" operator="greaterThanOrEqual">
      <formula>1</formula>
    </cfRule>
  </conditionalFormatting>
  <conditionalFormatting sqref="K105:K106">
    <cfRule type="cellIs" dxfId="2" priority="3" operator="greaterThan">
      <formula>$E$106</formula>
    </cfRule>
  </conditionalFormatting>
  <conditionalFormatting sqref="K107">
    <cfRule type="cellIs" dxfId="3" priority="4" operator="greaterThanOrEqual">
      <formula>1</formula>
    </cfRule>
  </conditionalFormatting>
  <conditionalFormatting sqref="L16">
    <cfRule type="cellIs" dxfId="4" priority="5" operator="greaterThan">
      <formula>15</formula>
    </cfRule>
  </conditionalFormatting>
  <printOptions horizontalCentered="1"/>
  <pageMargins left="0.2" right="0.2" top="0.5" bottom="0" header="0" footer="0"/>
  <pageSetup paperSize="9" orientation="portrait" horizontalDpi="4294967295" verticalDpi="4294967295" scale="100" fitToWidth="1" fitToHeight="1" firstPageNumber="1" useFirstPageNumber="1" copies="1"/>
  <headerFooter>
    <oddFooter>&amp;RAQL REPORT BMB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411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1" width="14.75" customWidth="1"/>
    <col min="12" max="12" width="11.75" customWidth="1"/>
    <col min="13" max="14" width="14.75" customWidth="1"/>
    <col min="15" max="15" width="20.63" customWidth="1"/>
    <col min="16" max="16" width="5.5" customWidth="1"/>
    <col min="17" max="17" width="16.25" customWidth="1"/>
    <col min="18" max="18" width="17.25" customWidth="1"/>
    <col min="19" max="19" width="14.75" customWidth="1"/>
    <col min="20" max="26" width="8.75" customWidth="1"/>
  </cols>
  <sheetData>
    <row r="1" ht="57" customHeight="1" spans="1:26" x14ac:dyDescent="0.25">
      <c r="A1" s="172" t="s">
        <v>179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174"/>
      <c r="V1" s="174"/>
      <c r="W1" s="174"/>
      <c r="X1" s="174"/>
      <c r="Y1" s="174"/>
      <c r="Z1" s="174"/>
    </row>
    <row r="2" ht="42.75" customHeight="1" spans="1:26" x14ac:dyDescent="0.25">
      <c r="A2" s="175" t="s">
        <v>8</v>
      </c>
      <c r="B2" s="176"/>
      <c r="C2" s="177">
        <f>'Main Report (2)'!B4</f>
      </c>
      <c r="D2" s="63"/>
      <c r="E2" s="178" t="s">
        <v>10</v>
      </c>
      <c r="F2" s="176"/>
      <c r="G2" s="177">
        <f>'Main Report (2)'!H4</f>
      </c>
      <c r="H2" s="62"/>
      <c r="I2" s="62"/>
      <c r="J2" s="62"/>
      <c r="K2" s="63"/>
      <c r="L2" s="179" t="s">
        <v>9</v>
      </c>
      <c r="M2" s="177">
        <f>'Main Report (2)'!D4</f>
      </c>
      <c r="N2" s="62"/>
      <c r="O2" s="62"/>
      <c r="P2" s="62"/>
      <c r="Q2" s="62"/>
      <c r="R2" s="62"/>
      <c r="S2" s="150"/>
      <c r="T2" s="174"/>
      <c r="U2" s="174"/>
      <c r="V2" s="174"/>
      <c r="W2" s="174"/>
      <c r="X2" s="174"/>
      <c r="Y2" s="174"/>
      <c r="Z2" s="174"/>
    </row>
    <row r="3" ht="42.75" customHeight="1" spans="1:26" x14ac:dyDescent="0.25">
      <c r="A3" s="180" t="s">
        <v>12</v>
      </c>
      <c r="B3" s="181"/>
      <c r="C3" s="182">
        <f>'Main Report (2)'!B5</f>
        <v>20000</v>
      </c>
      <c r="D3" s="40"/>
      <c r="E3" s="183" t="s">
        <v>13</v>
      </c>
      <c r="F3" s="184"/>
      <c r="G3" s="181">
        <f>'Main Report (2)'!E5</f>
        <v>315</v>
      </c>
      <c r="H3" s="185"/>
      <c r="I3" s="183" t="s">
        <v>15</v>
      </c>
      <c r="J3" s="186">
        <f>'Main Report (2)'!J5</f>
      </c>
      <c r="K3" s="137"/>
      <c r="L3" s="137"/>
      <c r="M3" s="137"/>
      <c r="N3" s="40"/>
      <c r="O3" s="183" t="s">
        <v>180</v>
      </c>
      <c r="P3" s="181"/>
      <c r="Q3" s="187">
        <f>'Main Report (2)'!H5</f>
      </c>
      <c r="R3" s="182" t="s">
        <v>11</v>
      </c>
      <c r="S3" s="188">
        <f>'Main Report (2)'!M4</f>
      </c>
      <c r="T3" s="174"/>
      <c r="U3" s="174"/>
      <c r="V3" s="174"/>
      <c r="W3" s="174"/>
      <c r="X3" s="174"/>
      <c r="Y3" s="174"/>
      <c r="Z3" s="174"/>
    </row>
    <row r="4" ht="15" customHeight="1" spans="1:26" x14ac:dyDescent="0.25">
      <c r="A4" s="189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1"/>
      <c r="T4" s="174"/>
      <c r="U4" s="174"/>
      <c r="V4" s="174"/>
      <c r="W4" s="174"/>
      <c r="X4" s="174"/>
      <c r="Y4" s="174"/>
      <c r="Z4" s="174"/>
    </row>
    <row r="5" ht="15" customHeight="1" spans="1:26" x14ac:dyDescent="0.25">
      <c r="A5" s="192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93"/>
      <c r="T5" s="174"/>
      <c r="U5" s="174"/>
      <c r="V5" s="174"/>
      <c r="W5" s="174"/>
      <c r="X5" s="174"/>
      <c r="Y5" s="174"/>
      <c r="Z5" s="174"/>
    </row>
    <row r="6" ht="15" customHeight="1" spans="1:26" x14ac:dyDescent="0.25">
      <c r="A6" s="192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93"/>
      <c r="T6" s="174"/>
      <c r="U6" s="174"/>
      <c r="V6" s="174"/>
      <c r="W6" s="174"/>
      <c r="X6" s="174"/>
      <c r="Y6" s="174"/>
      <c r="Z6" s="174"/>
    </row>
    <row r="7" ht="15" customHeight="1" spans="1:26" x14ac:dyDescent="0.25">
      <c r="A7" s="192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 s="193"/>
      <c r="T7" s="174"/>
      <c r="U7" s="174"/>
      <c r="V7" s="174"/>
      <c r="W7" s="174"/>
      <c r="X7" s="174"/>
      <c r="Y7" s="174"/>
      <c r="Z7" s="174"/>
    </row>
    <row r="8" ht="15" customHeight="1" spans="1:26" x14ac:dyDescent="0.25">
      <c r="A8" s="192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193"/>
      <c r="T8" s="174"/>
      <c r="U8" s="174"/>
      <c r="V8" s="174"/>
      <c r="W8" s="174"/>
      <c r="X8" s="174"/>
      <c r="Y8" s="174"/>
      <c r="Z8" s="174"/>
    </row>
    <row r="9" ht="15" customHeight="1" spans="1:26" x14ac:dyDescent="0.25">
      <c r="A9" s="192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93"/>
      <c r="T9" s="174"/>
      <c r="U9" s="174"/>
      <c r="V9" s="174"/>
      <c r="W9" s="174"/>
      <c r="X9" s="174"/>
      <c r="Y9" s="174"/>
      <c r="Z9" s="174"/>
    </row>
    <row r="10" ht="15" customHeight="1" spans="1:26" x14ac:dyDescent="0.25">
      <c r="A10" s="192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93"/>
      <c r="T10" s="174"/>
      <c r="U10" s="174"/>
      <c r="V10" s="174"/>
      <c r="W10" s="174"/>
      <c r="X10" s="174"/>
      <c r="Y10" s="174"/>
      <c r="Z10" s="174"/>
    </row>
    <row r="11" ht="15" customHeight="1" spans="1:26" x14ac:dyDescent="0.25">
      <c r="A11" s="192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93"/>
      <c r="T11" s="174"/>
      <c r="U11" s="174"/>
      <c r="V11" s="174"/>
      <c r="W11" s="174"/>
      <c r="X11" s="174"/>
      <c r="Y11" s="174"/>
      <c r="Z11" s="174"/>
    </row>
    <row r="12" ht="15" customHeight="1" spans="1:26" x14ac:dyDescent="0.25">
      <c r="A12" s="19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93"/>
      <c r="T12" s="174"/>
      <c r="U12" s="174"/>
      <c r="V12" s="174"/>
      <c r="W12" s="174"/>
      <c r="X12" s="174"/>
      <c r="Y12" s="174"/>
      <c r="Z12" s="174"/>
    </row>
    <row r="13" ht="15" customHeight="1" spans="1:26" x14ac:dyDescent="0.25">
      <c r="A13" s="192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93"/>
      <c r="T13" s="174"/>
      <c r="U13" s="174"/>
      <c r="V13" s="174"/>
      <c r="W13" s="174"/>
      <c r="X13" s="174"/>
      <c r="Y13" s="174"/>
      <c r="Z13" s="174"/>
    </row>
    <row r="14" ht="15" customHeight="1" spans="1:26" x14ac:dyDescent="0.25">
      <c r="A14" s="192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93"/>
      <c r="T14" s="174"/>
      <c r="U14" s="174"/>
      <c r="V14" s="174"/>
      <c r="W14" s="174"/>
      <c r="X14" s="174"/>
      <c r="Y14" s="174"/>
      <c r="Z14" s="174"/>
    </row>
    <row r="15" ht="15" customHeight="1" spans="1:26" x14ac:dyDescent="0.25">
      <c r="A15" s="192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93"/>
      <c r="T15" s="174"/>
      <c r="U15" s="174"/>
      <c r="V15" s="174"/>
      <c r="W15" s="174"/>
      <c r="X15" s="174"/>
      <c r="Y15" s="174"/>
      <c r="Z15" s="174"/>
    </row>
    <row r="16" ht="15" customHeight="1" spans="1:26" x14ac:dyDescent="0.25">
      <c r="A16" s="192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93"/>
      <c r="T16" s="174"/>
      <c r="U16" s="174"/>
      <c r="V16" s="174"/>
      <c r="W16" s="174"/>
      <c r="X16" s="174"/>
      <c r="Y16" s="174"/>
      <c r="Z16" s="174"/>
    </row>
    <row r="17" ht="15" customHeight="1" spans="1:26" x14ac:dyDescent="0.25">
      <c r="A17" s="192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93"/>
      <c r="T17" s="174"/>
      <c r="U17" s="174"/>
      <c r="V17" s="174"/>
      <c r="W17" s="174"/>
      <c r="X17" s="174"/>
      <c r="Y17" s="174"/>
      <c r="Z17" s="174"/>
    </row>
    <row r="18" ht="15" customHeight="1" spans="1:26" x14ac:dyDescent="0.25">
      <c r="A18" s="192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93"/>
      <c r="T18" s="174"/>
      <c r="U18" s="174"/>
      <c r="V18" s="174"/>
      <c r="W18" s="174"/>
      <c r="X18" s="174"/>
      <c r="Y18" s="174"/>
      <c r="Z18" s="174"/>
    </row>
    <row r="19" ht="15" customHeight="1" spans="1:26" x14ac:dyDescent="0.25">
      <c r="A19" s="192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93"/>
      <c r="T19" s="174"/>
      <c r="U19" s="174"/>
      <c r="V19" s="174"/>
      <c r="W19" s="174"/>
      <c r="X19" s="174"/>
      <c r="Y19" s="174"/>
      <c r="Z19" s="174"/>
    </row>
    <row r="20" ht="15" customHeight="1" spans="1:26" x14ac:dyDescent="0.25">
      <c r="A20" s="19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s="193"/>
      <c r="T20" s="174"/>
      <c r="U20" s="174"/>
      <c r="V20" s="174"/>
      <c r="W20" s="174"/>
      <c r="X20" s="174"/>
      <c r="Y20" s="174"/>
      <c r="Z20" s="174"/>
    </row>
    <row r="21" ht="15" customHeight="1" spans="1:26" x14ac:dyDescent="0.25">
      <c r="A21" s="19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 s="193"/>
      <c r="T21" s="174"/>
      <c r="U21" s="174"/>
      <c r="V21" s="174"/>
      <c r="W21" s="174"/>
      <c r="X21" s="174"/>
      <c r="Y21" s="174"/>
      <c r="Z21" s="174"/>
    </row>
    <row r="22" ht="15" customHeight="1" spans="1:26" x14ac:dyDescent="0.25">
      <c r="A22" s="19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s="193"/>
      <c r="T22" s="174"/>
      <c r="U22" s="174"/>
      <c r="V22" s="174"/>
      <c r="W22" s="174"/>
      <c r="X22" s="174"/>
      <c r="Y22" s="174"/>
      <c r="Z22" s="174"/>
    </row>
    <row r="23" ht="15" customHeight="1" spans="1:26" x14ac:dyDescent="0.25">
      <c r="A23" s="19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 s="193"/>
      <c r="T23" s="174"/>
      <c r="U23" s="174"/>
      <c r="V23" s="174"/>
      <c r="W23" s="174"/>
      <c r="X23" s="174"/>
      <c r="Y23" s="174"/>
      <c r="Z23" s="174"/>
    </row>
    <row r="24" ht="15" customHeight="1" spans="1:26" x14ac:dyDescent="0.25">
      <c r="A24" s="192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 s="193"/>
      <c r="T24" s="174"/>
      <c r="U24" s="174"/>
      <c r="V24" s="174"/>
      <c r="W24" s="174"/>
      <c r="X24" s="174"/>
      <c r="Y24" s="174"/>
      <c r="Z24" s="174"/>
    </row>
    <row r="25" ht="15" customHeight="1" spans="1:26" x14ac:dyDescent="0.25">
      <c r="A25" s="192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s="193"/>
      <c r="T25" s="174"/>
      <c r="U25" s="174"/>
      <c r="V25" s="174"/>
      <c r="W25" s="174"/>
      <c r="X25" s="174"/>
      <c r="Y25" s="174"/>
      <c r="Z25" s="174"/>
    </row>
    <row r="26" ht="15" customHeight="1" spans="1:26" x14ac:dyDescent="0.25">
      <c r="A26" s="192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s="193"/>
      <c r="T26" s="174"/>
      <c r="U26" s="174"/>
      <c r="V26" s="174"/>
      <c r="W26" s="174"/>
      <c r="X26" s="174"/>
      <c r="Y26" s="174"/>
      <c r="Z26" s="174"/>
    </row>
    <row r="27" ht="15" customHeight="1" spans="1:26" x14ac:dyDescent="0.25">
      <c r="A27" s="192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 s="193"/>
      <c r="T27" s="174"/>
      <c r="U27" s="174"/>
      <c r="V27" s="174"/>
      <c r="W27" s="174"/>
      <c r="X27" s="174"/>
      <c r="Y27" s="174"/>
      <c r="Z27" s="174"/>
    </row>
    <row r="28" ht="15" customHeight="1" spans="1:26" x14ac:dyDescent="0.25">
      <c r="A28" s="192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s="193"/>
      <c r="T28" s="174"/>
      <c r="U28" s="174"/>
      <c r="V28" s="174"/>
      <c r="W28" s="174"/>
      <c r="X28" s="174"/>
      <c r="Y28" s="174"/>
      <c r="Z28" s="174"/>
    </row>
    <row r="29" ht="15" customHeight="1" spans="1:26" x14ac:dyDescent="0.25">
      <c r="A29" s="192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 s="193"/>
      <c r="T29" s="174"/>
      <c r="U29" s="174"/>
      <c r="V29" s="174"/>
      <c r="W29" s="174"/>
      <c r="X29" s="174"/>
      <c r="Y29" s="174"/>
      <c r="Z29" s="174"/>
    </row>
    <row r="30" ht="15" customHeight="1" spans="1:26" x14ac:dyDescent="0.25">
      <c r="A30" s="192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 s="193"/>
      <c r="T30" s="174"/>
      <c r="U30" s="174"/>
      <c r="V30" s="174"/>
      <c r="W30" s="174"/>
      <c r="X30" s="174"/>
      <c r="Y30" s="174"/>
      <c r="Z30" s="174"/>
    </row>
    <row r="31" ht="15" customHeight="1" spans="1:26" x14ac:dyDescent="0.25">
      <c r="A31" s="192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 s="193"/>
      <c r="T31" s="174"/>
      <c r="U31" s="174"/>
      <c r="V31" s="174"/>
      <c r="W31" s="174"/>
      <c r="X31" s="174"/>
      <c r="Y31" s="174"/>
      <c r="Z31" s="174"/>
    </row>
    <row r="32" ht="15" customHeight="1" spans="1:26" x14ac:dyDescent="0.25">
      <c r="A32" s="19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 s="193"/>
      <c r="T32" s="174"/>
      <c r="U32" s="174"/>
      <c r="V32" s="174"/>
      <c r="W32" s="174"/>
      <c r="X32" s="174"/>
      <c r="Y32" s="174"/>
      <c r="Z32" s="174"/>
    </row>
    <row r="33" ht="15" customHeight="1" spans="1:26" x14ac:dyDescent="0.25">
      <c r="A33" s="192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 s="193"/>
      <c r="T33" s="174"/>
      <c r="U33" s="174"/>
      <c r="V33" s="174"/>
      <c r="W33" s="174"/>
      <c r="X33" s="174"/>
      <c r="Y33" s="174"/>
      <c r="Z33" s="174"/>
    </row>
    <row r="34" ht="15" customHeight="1" spans="1:26" x14ac:dyDescent="0.25">
      <c r="A34" s="192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 s="193"/>
      <c r="T34" s="174"/>
      <c r="U34" s="174"/>
      <c r="V34" s="174"/>
      <c r="W34" s="174"/>
      <c r="X34" s="174"/>
      <c r="Y34" s="174"/>
      <c r="Z34" s="174"/>
    </row>
    <row r="35" ht="15" customHeight="1" spans="1:26" x14ac:dyDescent="0.25">
      <c r="A35" s="19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s="193"/>
      <c r="T35" s="174"/>
      <c r="U35" s="174"/>
      <c r="V35" s="174"/>
      <c r="W35" s="174"/>
      <c r="X35" s="174"/>
      <c r="Y35" s="174"/>
      <c r="Z35" s="174"/>
    </row>
    <row r="36" ht="15" customHeight="1" spans="1:26" x14ac:dyDescent="0.25">
      <c r="A36" s="19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s="193"/>
      <c r="T36" s="174"/>
      <c r="U36" s="174"/>
      <c r="V36" s="174"/>
      <c r="W36" s="174"/>
      <c r="X36" s="174"/>
      <c r="Y36" s="174"/>
      <c r="Z36" s="174"/>
    </row>
    <row r="37" ht="15" customHeight="1" spans="1:26" x14ac:dyDescent="0.25">
      <c r="A37" s="192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 s="193"/>
      <c r="T37" s="174"/>
      <c r="U37" s="174"/>
      <c r="V37" s="174"/>
      <c r="W37" s="174"/>
      <c r="X37" s="174"/>
      <c r="Y37" s="174"/>
      <c r="Z37" s="174"/>
    </row>
    <row r="38" ht="15" customHeight="1" spans="1:26" x14ac:dyDescent="0.25">
      <c r="A38" s="192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 s="193"/>
      <c r="T38" s="174"/>
      <c r="U38" s="174"/>
      <c r="V38" s="174"/>
      <c r="W38" s="174"/>
      <c r="X38" s="174"/>
      <c r="Y38" s="174"/>
      <c r="Z38" s="174"/>
    </row>
    <row r="39" ht="15" customHeight="1" spans="1:26" x14ac:dyDescent="0.25">
      <c r="A39" s="19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s="193"/>
      <c r="T39" s="174"/>
      <c r="U39" s="174"/>
      <c r="V39" s="174"/>
      <c r="W39" s="174"/>
      <c r="X39" s="174"/>
      <c r="Y39" s="174"/>
      <c r="Z39" s="174"/>
    </row>
    <row r="40" ht="15" customHeight="1" spans="1:26" x14ac:dyDescent="0.25">
      <c r="A40" s="192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 s="193"/>
      <c r="T40" s="174"/>
      <c r="U40" s="174"/>
      <c r="V40" s="174"/>
      <c r="W40" s="174"/>
      <c r="X40" s="174"/>
      <c r="Y40" s="174"/>
      <c r="Z40" s="174"/>
    </row>
    <row r="41" ht="15" customHeight="1" spans="1:26" x14ac:dyDescent="0.25">
      <c r="A41" s="192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 s="193"/>
      <c r="T41" s="174"/>
      <c r="U41" s="174"/>
      <c r="V41" s="174"/>
      <c r="W41" s="174"/>
      <c r="X41" s="174"/>
      <c r="Y41" s="174"/>
      <c r="Z41" s="174"/>
    </row>
    <row r="42" ht="15" customHeight="1" spans="1:26" x14ac:dyDescent="0.25">
      <c r="A42" s="19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 s="193"/>
      <c r="T42" s="174"/>
      <c r="U42" s="174"/>
      <c r="V42" s="174"/>
      <c r="W42" s="174"/>
      <c r="X42" s="174"/>
      <c r="Y42" s="174"/>
      <c r="Z42" s="174"/>
    </row>
    <row r="43" ht="15" customHeight="1" spans="1:26" x14ac:dyDescent="0.25">
      <c r="A43" s="19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193"/>
      <c r="T43" s="174"/>
      <c r="U43" s="174"/>
      <c r="V43" s="174"/>
      <c r="W43" s="174"/>
      <c r="X43" s="174"/>
      <c r="Y43" s="174"/>
      <c r="Z43" s="174"/>
    </row>
    <row r="44" ht="15" customHeight="1" spans="1:26" x14ac:dyDescent="0.25">
      <c r="A44" s="19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s="193"/>
      <c r="T44" s="174"/>
      <c r="U44" s="174"/>
      <c r="V44" s="174"/>
      <c r="W44" s="174"/>
      <c r="X44" s="174"/>
      <c r="Y44" s="174"/>
      <c r="Z44" s="174"/>
    </row>
    <row r="45" ht="15" customHeight="1" spans="1:26" x14ac:dyDescent="0.25">
      <c r="A45" s="19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 s="193"/>
      <c r="T45" s="174"/>
      <c r="U45" s="174"/>
      <c r="V45" s="174"/>
      <c r="W45" s="174"/>
      <c r="X45" s="174"/>
      <c r="Y45" s="174"/>
      <c r="Z45" s="174"/>
    </row>
    <row r="46" ht="15" customHeight="1" spans="1:26" x14ac:dyDescent="0.25">
      <c r="A46" s="19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 s="193"/>
      <c r="T46" s="174"/>
      <c r="U46" s="174"/>
      <c r="V46" s="174"/>
      <c r="W46" s="174"/>
      <c r="X46" s="174"/>
      <c r="Y46" s="174"/>
      <c r="Z46" s="174"/>
    </row>
    <row r="47" ht="15" customHeight="1" spans="1:26" x14ac:dyDescent="0.25">
      <c r="A47" s="19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s="193"/>
      <c r="T47" s="174"/>
      <c r="U47" s="174"/>
      <c r="V47" s="174"/>
      <c r="W47" s="174"/>
      <c r="X47" s="174"/>
      <c r="Y47" s="174"/>
      <c r="Z47" s="174"/>
    </row>
    <row r="48" ht="15" customHeight="1" spans="1:26" x14ac:dyDescent="0.25">
      <c r="A48" s="19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s="193"/>
      <c r="T48" s="174"/>
      <c r="U48" s="174"/>
      <c r="V48" s="174"/>
      <c r="W48" s="174"/>
      <c r="X48" s="174"/>
      <c r="Y48" s="174"/>
      <c r="Z48" s="174"/>
    </row>
    <row r="49" ht="15" customHeight="1" spans="1:26" x14ac:dyDescent="0.25">
      <c r="A49" s="19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s="193"/>
      <c r="T49" s="174"/>
      <c r="U49" s="174"/>
      <c r="V49" s="174"/>
      <c r="W49" s="174"/>
      <c r="X49" s="174"/>
      <c r="Y49" s="174"/>
      <c r="Z49" s="174"/>
    </row>
    <row r="50" ht="15" customHeight="1" spans="1:26" x14ac:dyDescent="0.25">
      <c r="A50" s="19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s="193"/>
      <c r="T50" s="174"/>
      <c r="U50" s="174"/>
      <c r="V50" s="174"/>
      <c r="W50" s="174"/>
      <c r="X50" s="174"/>
      <c r="Y50" s="174"/>
      <c r="Z50" s="174"/>
    </row>
    <row r="51" ht="15" customHeight="1" spans="1:26" x14ac:dyDescent="0.25">
      <c r="A51" s="192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s="193"/>
      <c r="T51" s="174"/>
      <c r="U51" s="174"/>
      <c r="V51" s="174"/>
      <c r="W51" s="174"/>
      <c r="X51" s="174"/>
      <c r="Y51" s="174"/>
      <c r="Z51" s="174"/>
    </row>
    <row r="52" ht="15" customHeight="1" spans="1:26" x14ac:dyDescent="0.25">
      <c r="A52" s="19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 s="193"/>
      <c r="T52" s="174"/>
      <c r="U52" s="174"/>
      <c r="V52" s="174"/>
      <c r="W52" s="174"/>
      <c r="X52" s="174"/>
      <c r="Y52" s="174"/>
      <c r="Z52" s="174"/>
    </row>
    <row r="53" ht="15" customHeight="1" spans="1:26" x14ac:dyDescent="0.25">
      <c r="A53" s="192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 s="193"/>
      <c r="T53" s="174"/>
      <c r="U53" s="174"/>
      <c r="V53" s="174"/>
      <c r="W53" s="174"/>
      <c r="X53" s="174"/>
      <c r="Y53" s="174"/>
      <c r="Z53" s="174"/>
    </row>
    <row r="54" ht="15" customHeight="1" spans="1:26" x14ac:dyDescent="0.25">
      <c r="A54" s="192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s="193"/>
      <c r="T54" s="174"/>
      <c r="U54" s="174"/>
      <c r="V54" s="174"/>
      <c r="W54" s="174"/>
      <c r="X54" s="174"/>
      <c r="Y54" s="174"/>
      <c r="Z54" s="174"/>
    </row>
    <row r="55" ht="15" customHeight="1" spans="1:26" x14ac:dyDescent="0.25">
      <c r="A55" s="194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95"/>
      <c r="T55" s="174"/>
      <c r="U55" s="174"/>
      <c r="V55" s="174"/>
      <c r="W55" s="174"/>
      <c r="X55" s="174"/>
      <c r="Y55" s="174"/>
      <c r="Z55" s="174"/>
    </row>
    <row r="56" ht="12.75" customHeight="1" spans="1:26" x14ac:dyDescent="0.25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12.75" customHeight="1" spans="1:26" x14ac:dyDescent="0.25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ht="12.75" customHeight="1" spans="1:26" x14ac:dyDescent="0.25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12.75" customHeight="1" spans="1:26" x14ac:dyDescent="0.25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ht="12.75" customHeight="1" spans="1:26" x14ac:dyDescent="0.25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ht="12.75" customHeight="1" spans="1:26" x14ac:dyDescent="0.25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ht="12.75" customHeight="1" spans="1:26" x14ac:dyDescent="0.25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ht="12.75" customHeight="1" spans="1:26" x14ac:dyDescent="0.25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ht="12.75" customHeight="1" spans="1:26" x14ac:dyDescent="0.25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ht="12.75" customHeight="1" spans="1:26" x14ac:dyDescent="0.2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ht="12.75" customHeight="1" spans="1:26" x14ac:dyDescent="0.25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ht="12.75" customHeight="1" spans="1:26" x14ac:dyDescent="0.25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12.75" customHeight="1" spans="1:26" x14ac:dyDescent="0.25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ht="12.75" customHeight="1" spans="1:26" x14ac:dyDescent="0.25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ht="12.75" customHeight="1" spans="1:26" x14ac:dyDescent="0.25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12.75" customHeight="1" spans="1:26" x14ac:dyDescent="0.25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12.75" customHeight="1" spans="1:26" x14ac:dyDescent="0.25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ht="12.75" customHeight="1" spans="1:26" x14ac:dyDescent="0.25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ht="12.75" customHeight="1" spans="1:26" x14ac:dyDescent="0.25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ht="12.75" customHeight="1" spans="1:26" x14ac:dyDescent="0.2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ht="12.75" customHeight="1" spans="1:26" x14ac:dyDescent="0.25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ht="12.75" customHeight="1" spans="1:26" x14ac:dyDescent="0.25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12.75" customHeight="1" spans="1:26" x14ac:dyDescent="0.25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ht="12.75" customHeight="1" spans="1:26" x14ac:dyDescent="0.25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ht="12.75" customHeight="1" spans="1:26" x14ac:dyDescent="0.25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12.75" customHeight="1" spans="1:26" x14ac:dyDescent="0.25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ht="12.75" customHeight="1" spans="1:26" x14ac:dyDescent="0.25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ht="12.75" customHeight="1" spans="1:26" x14ac:dyDescent="0.25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12.75" customHeight="1" spans="1:26" x14ac:dyDescent="0.25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ht="12.75" customHeight="1" spans="1:26" x14ac:dyDescent="0.2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ht="12.75" customHeight="1" spans="1:26" x14ac:dyDescent="0.25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ht="12.75" customHeight="1" spans="1:26" x14ac:dyDescent="0.25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ht="12.75" customHeight="1" spans="1:26" x14ac:dyDescent="0.25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12.75" customHeight="1" spans="1:26" x14ac:dyDescent="0.25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ht="12.75" customHeight="1" spans="1:26" x14ac:dyDescent="0.25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ht="12.75" customHeight="1" spans="1:26" x14ac:dyDescent="0.25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12.75" customHeight="1" spans="1:26" x14ac:dyDescent="0.25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ht="12.75" customHeight="1" spans="1:26" x14ac:dyDescent="0.25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ht="12.75" customHeight="1" spans="1:26" x14ac:dyDescent="0.25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ht="12.75" customHeight="1" spans="1:26" x14ac:dyDescent="0.2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ht="12.75" customHeight="1" spans="1:26" x14ac:dyDescent="0.25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ht="12.75" customHeight="1" spans="1:26" x14ac:dyDescent="0.25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ht="12.75" customHeight="1" spans="1:26" x14ac:dyDescent="0.25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12.75" customHeight="1" spans="1:26" x14ac:dyDescent="0.25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ht="12.75" customHeight="1" spans="1:26" x14ac:dyDescent="0.25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ht="12.75" customHeight="1" spans="1:26" x14ac:dyDescent="0.25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ht="12.75" customHeight="1" spans="1:26" x14ac:dyDescent="0.25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12.75" customHeight="1" spans="1:26" x14ac:dyDescent="0.25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12.75" customHeight="1" spans="1:26" x14ac:dyDescent="0.25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ht="12.75" customHeight="1" spans="1:26" x14ac:dyDescent="0.2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ht="12.75" customHeight="1" spans="1:26" x14ac:dyDescent="0.25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ht="12.75" customHeight="1" spans="1:26" x14ac:dyDescent="0.25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12.75" customHeight="1" spans="1:26" x14ac:dyDescent="0.25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ht="12.75" customHeight="1" spans="1:26" x14ac:dyDescent="0.25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12.75" customHeight="1" spans="1:26" x14ac:dyDescent="0.25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ht="12.75" customHeight="1" spans="1:26" x14ac:dyDescent="0.25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ht="12.75" customHeight="1" spans="1:26" x14ac:dyDescent="0.25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12.75" customHeight="1" spans="1:26" x14ac:dyDescent="0.25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ht="12.75" customHeight="1" spans="1:26" x14ac:dyDescent="0.25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ht="12.75" customHeight="1" spans="1:26" x14ac:dyDescent="0.2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12.75" customHeight="1" spans="1:26" x14ac:dyDescent="0.25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12.75" customHeight="1" spans="1:26" x14ac:dyDescent="0.25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ht="12.75" customHeight="1" spans="1:26" x14ac:dyDescent="0.25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12.75" customHeight="1" spans="1:26" x14ac:dyDescent="0.25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12.75" customHeight="1" spans="1:26" x14ac:dyDescent="0.25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ht="12.75" customHeight="1" spans="1:26" x14ac:dyDescent="0.25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12.75" customHeight="1" spans="1:26" x14ac:dyDescent="0.25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ht="12.75" customHeight="1" spans="1:26" x14ac:dyDescent="0.25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ht="12.75" customHeight="1" spans="1:26" x14ac:dyDescent="0.25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12.75" customHeight="1" spans="1:26" x14ac:dyDescent="0.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12.75" customHeight="1" spans="1:26" x14ac:dyDescent="0.25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ht="12.75" customHeight="1" spans="1:26" x14ac:dyDescent="0.25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ht="12.75" customHeight="1" spans="1:26" x14ac:dyDescent="0.25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12.75" customHeight="1" spans="1:26" x14ac:dyDescent="0.25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ht="12.75" customHeight="1" spans="1:26" x14ac:dyDescent="0.25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12.75" customHeight="1" spans="1:26" x14ac:dyDescent="0.25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ht="12.75" customHeight="1" spans="1:26" x14ac:dyDescent="0.25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ht="12.75" customHeight="1" spans="1:26" x14ac:dyDescent="0.25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12.75" customHeight="1" spans="1:26" x14ac:dyDescent="0.25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12.75" customHeight="1" spans="1:26" x14ac:dyDescent="0.2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12.75" customHeight="1" spans="1:26" x14ac:dyDescent="0.25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ht="12.75" customHeight="1" spans="1:26" x14ac:dyDescent="0.25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12.75" customHeight="1" spans="1:26" x14ac:dyDescent="0.25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ht="12.75" customHeight="1" spans="1:26" x14ac:dyDescent="0.25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12.75" customHeight="1" spans="1:26" x14ac:dyDescent="0.25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12.75" customHeight="1" spans="1:26" x14ac:dyDescent="0.25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ht="12.75" customHeight="1" spans="1:26" x14ac:dyDescent="0.25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ht="12.75" customHeight="1" spans="1:26" x14ac:dyDescent="0.25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ht="12.75" customHeight="1" spans="1:26" x14ac:dyDescent="0.25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ht="12.75" customHeight="1" spans="1:26" x14ac:dyDescent="0.2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ht="12.75" customHeight="1" spans="1:26" x14ac:dyDescent="0.25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12.75" customHeight="1" spans="1:26" x14ac:dyDescent="0.25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12.75" customHeight="1" spans="1:26" x14ac:dyDescent="0.25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ht="12.75" customHeight="1" spans="1:26" x14ac:dyDescent="0.25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12.75" customHeight="1" spans="1:26" x14ac:dyDescent="0.25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ht="12.75" customHeight="1" spans="1:26" x14ac:dyDescent="0.25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12.75" customHeight="1" spans="1:26" x14ac:dyDescent="0.25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ht="12.75" customHeight="1" spans="1:26" x14ac:dyDescent="0.25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ht="12.75" customHeight="1" spans="1:26" x14ac:dyDescent="0.25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12.75" customHeight="1" spans="1:26" x14ac:dyDescent="0.2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ht="12.75" customHeight="1" spans="1:26" x14ac:dyDescent="0.25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12.75" customHeight="1" spans="1:26" x14ac:dyDescent="0.25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ht="12.75" customHeight="1" spans="1:26" x14ac:dyDescent="0.25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ht="12.75" customHeight="1" spans="1:26" x14ac:dyDescent="0.25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12.75" customHeight="1" spans="1:26" x14ac:dyDescent="0.25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12.75" customHeight="1" spans="1:26" x14ac:dyDescent="0.25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12.75" customHeight="1" spans="1:26" x14ac:dyDescent="0.25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12.75" customHeight="1" spans="1:26" x14ac:dyDescent="0.25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ht="12.75" customHeight="1" spans="1:26" x14ac:dyDescent="0.25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ht="12.75" customHeight="1" spans="1:26" x14ac:dyDescent="0.2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ht="12.75" customHeight="1" spans="1:26" x14ac:dyDescent="0.25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12.75" customHeight="1" spans="1:26" x14ac:dyDescent="0.25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ht="12.75" customHeight="1" spans="1:26" x14ac:dyDescent="0.25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12.75" customHeight="1" spans="1:26" x14ac:dyDescent="0.25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12.75" customHeight="1" spans="1:26" x14ac:dyDescent="0.25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12.75" customHeight="1" spans="1:26" x14ac:dyDescent="0.25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ht="12.75" customHeight="1" spans="1:26" x14ac:dyDescent="0.25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12.75" customHeight="1" spans="1:26" x14ac:dyDescent="0.25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12.75" customHeight="1" spans="1:26" x14ac:dyDescent="0.25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ht="12.75" customHeight="1" spans="1:26" x14ac:dyDescent="0.2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12.75" customHeight="1" spans="1:26" x14ac:dyDescent="0.25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ht="12.75" customHeight="1" spans="1:26" x14ac:dyDescent="0.25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ht="12.75" customHeight="1" spans="1:26" x14ac:dyDescent="0.25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12.75" customHeight="1" spans="1:26" x14ac:dyDescent="0.25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ht="12.75" customHeight="1" spans="1:26" x14ac:dyDescent="0.25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ht="12.75" customHeight="1" spans="1:26" x14ac:dyDescent="0.25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12.75" customHeight="1" spans="1:26" x14ac:dyDescent="0.25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12.75" customHeight="1" spans="1:26" x14ac:dyDescent="0.25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ht="12.75" customHeight="1" spans="1:26" x14ac:dyDescent="0.25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12.75" customHeight="1" spans="1:26" x14ac:dyDescent="0.2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12.75" customHeight="1" spans="1:26" x14ac:dyDescent="0.25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ht="12.75" customHeight="1" spans="1:26" x14ac:dyDescent="0.25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ht="12.75" customHeight="1" spans="1:26" x14ac:dyDescent="0.25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ht="12.75" customHeight="1" spans="1:26" x14ac:dyDescent="0.25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ht="12.75" customHeight="1" spans="1:26" x14ac:dyDescent="0.25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12.75" customHeight="1" spans="1:26" x14ac:dyDescent="0.25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12.75" customHeight="1" spans="1:26" x14ac:dyDescent="0.25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12.75" customHeight="1" spans="1:26" x14ac:dyDescent="0.25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12.75" customHeight="1" spans="1:26" x14ac:dyDescent="0.25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12.75" customHeight="1" spans="1:26" x14ac:dyDescent="0.2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ht="12.75" customHeight="1" spans="1:26" x14ac:dyDescent="0.25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12.75" customHeight="1" spans="1:26" x14ac:dyDescent="0.25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12.75" customHeight="1" spans="1:26" x14ac:dyDescent="0.25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ht="12.75" customHeight="1" spans="1:26" x14ac:dyDescent="0.25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ht="12.75" customHeight="1" spans="1:26" x14ac:dyDescent="0.25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12.75" customHeight="1" spans="1:26" x14ac:dyDescent="0.25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ht="12.75" customHeight="1" spans="1:26" x14ac:dyDescent="0.25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12.75" customHeight="1" spans="1:26" x14ac:dyDescent="0.25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12.75" customHeight="1" spans="1:26" x14ac:dyDescent="0.25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12.75" customHeight="1" spans="1:26" x14ac:dyDescent="0.2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ht="12.75" customHeight="1" spans="1:26" x14ac:dyDescent="0.25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12.75" customHeight="1" spans="1:26" x14ac:dyDescent="0.25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ht="12.75" customHeight="1" spans="1:26" x14ac:dyDescent="0.25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ht="12.75" customHeight="1" spans="1:26" x14ac:dyDescent="0.25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ht="12.75" customHeight="1" spans="1:26" x14ac:dyDescent="0.25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ht="12.75" customHeight="1" spans="1:26" x14ac:dyDescent="0.25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12.75" customHeight="1" spans="1:26" x14ac:dyDescent="0.25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12.75" customHeight="1" spans="1:26" x14ac:dyDescent="0.25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12.75" customHeight="1" spans="1:26" x14ac:dyDescent="0.25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12.75" customHeight="1" spans="1:26" x14ac:dyDescent="0.2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ht="12.75" customHeight="1" spans="1:26" x14ac:dyDescent="0.25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12.75" customHeight="1" spans="1:26" x14ac:dyDescent="0.25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12.75" customHeight="1" spans="1:26" x14ac:dyDescent="0.25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ht="12.75" customHeight="1" spans="1:26" x14ac:dyDescent="0.25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ht="12.75" customHeight="1" spans="1:26" x14ac:dyDescent="0.25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ht="12.75" customHeight="1" spans="1:26" x14ac:dyDescent="0.25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ht="12.75" customHeight="1" spans="1:26" x14ac:dyDescent="0.25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12.75" customHeight="1" spans="1:26" x14ac:dyDescent="0.25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12.75" customHeight="1" spans="1:26" x14ac:dyDescent="0.25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12.75" customHeight="1" spans="1:26" x14ac:dyDescent="0.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12.75" customHeight="1" spans="1:26" x14ac:dyDescent="0.25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ht="12.75" customHeight="1" spans="1:26" x14ac:dyDescent="0.25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ht="12.75" customHeight="1" spans="1:26" x14ac:dyDescent="0.25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12.75" customHeight="1" spans="1:26" x14ac:dyDescent="0.25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12.75" customHeight="1" spans="1:26" x14ac:dyDescent="0.25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12.75" customHeight="1" spans="1:26" x14ac:dyDescent="0.25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12.75" customHeight="1" spans="1:26" x14ac:dyDescent="0.25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12.75" customHeight="1" spans="1:26" x14ac:dyDescent="0.25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2.75" customHeight="1" spans="1:26" x14ac:dyDescent="0.25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12.75" customHeight="1" spans="1:26" x14ac:dyDescent="0.2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12.75" customHeight="1" spans="1:26" x14ac:dyDescent="0.25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12.75" customHeight="1" spans="1:26" x14ac:dyDescent="0.25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12.75" customHeight="1" spans="1:26" x14ac:dyDescent="0.25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12.75" customHeight="1" spans="1:26" x14ac:dyDescent="0.25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12.75" customHeight="1" spans="1:26" x14ac:dyDescent="0.25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12.75" customHeight="1" spans="1:26" x14ac:dyDescent="0.25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12.75" customHeight="1" spans="1:26" x14ac:dyDescent="0.25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12.75" customHeight="1" spans="1:26" x14ac:dyDescent="0.25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12.75" customHeight="1" spans="1:26" x14ac:dyDescent="0.25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2.75" customHeight="1" spans="1:26" x14ac:dyDescent="0.2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12.75" customHeight="1" spans="1:26" x14ac:dyDescent="0.25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12.75" customHeight="1" spans="1:26" x14ac:dyDescent="0.25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12.75" customHeight="1" spans="1:26" x14ac:dyDescent="0.25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12.75" customHeight="1" spans="1:26" x14ac:dyDescent="0.25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2.75" customHeight="1" spans="1:26" x14ac:dyDescent="0.25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2.75" customHeight="1" spans="1:26" x14ac:dyDescent="0.25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2.75" customHeight="1" spans="1:26" x14ac:dyDescent="0.25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2.75" customHeight="1" spans="1:26" x14ac:dyDescent="0.25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2.75" customHeight="1" spans="1:26" x14ac:dyDescent="0.25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2.75" customHeight="1" spans="1:26" x14ac:dyDescent="0.2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2.75" customHeight="1" spans="1:26" x14ac:dyDescent="0.25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2.75" customHeight="1" spans="1:26" x14ac:dyDescent="0.25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2.75" customHeight="1" spans="1:26" x14ac:dyDescent="0.25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2.75" customHeight="1" spans="1:26" x14ac:dyDescent="0.25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2.75" customHeight="1" spans="1:26" x14ac:dyDescent="0.25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2.75" customHeight="1" spans="1:26" x14ac:dyDescent="0.25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2.75" customHeight="1" spans="1:26" x14ac:dyDescent="0.25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2.75" customHeight="1" spans="1:26" x14ac:dyDescent="0.25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2.75" customHeight="1" spans="1:26" x14ac:dyDescent="0.25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2.75" customHeight="1" spans="1:26" x14ac:dyDescent="0.2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2.75" customHeight="1" spans="1:26" x14ac:dyDescent="0.25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2.75" customHeight="1" spans="1:26" x14ac:dyDescent="0.25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2.75" customHeight="1" spans="1:26" x14ac:dyDescent="0.25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2.75" customHeight="1" spans="1:26" x14ac:dyDescent="0.25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2.75" customHeight="1" spans="1:26" x14ac:dyDescent="0.25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2.75" customHeight="1" spans="1:26" x14ac:dyDescent="0.25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2.75" customHeight="1" spans="1:26" x14ac:dyDescent="0.25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2.75" customHeight="1" spans="1:26" x14ac:dyDescent="0.25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2.75" customHeight="1" spans="1:26" x14ac:dyDescent="0.25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2.75" customHeight="1" spans="1:26" x14ac:dyDescent="0.2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2.75" customHeight="1" spans="1:26" x14ac:dyDescent="0.25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2.75" customHeight="1" spans="1:26" x14ac:dyDescent="0.25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2.75" customHeight="1" spans="1:26" x14ac:dyDescent="0.25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2.75" customHeight="1" spans="1:26" x14ac:dyDescent="0.25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2.75" customHeight="1" spans="1:26" x14ac:dyDescent="0.25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2.75" customHeight="1" spans="1:26" x14ac:dyDescent="0.25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2.75" customHeight="1" spans="1:26" x14ac:dyDescent="0.25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2.75" customHeight="1" spans="1:26" x14ac:dyDescent="0.25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2.75" customHeight="1" spans="1:26" x14ac:dyDescent="0.25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2.75" customHeight="1" spans="1:26" x14ac:dyDescent="0.2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2.75" customHeight="1" spans="1:26" x14ac:dyDescent="0.25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2.75" customHeight="1" spans="1:26" x14ac:dyDescent="0.25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2.75" customHeight="1" spans="1:26" x14ac:dyDescent="0.25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2.75" customHeight="1" spans="1:26" x14ac:dyDescent="0.25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2.75" customHeight="1" spans="1:26" x14ac:dyDescent="0.25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2.75" customHeight="1" spans="1:26" x14ac:dyDescent="0.25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2.75" customHeight="1" spans="1:26" x14ac:dyDescent="0.25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2.75" customHeight="1" spans="1:26" x14ac:dyDescent="0.25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2.75" customHeight="1" spans="1:26" x14ac:dyDescent="0.25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2.75" customHeight="1" spans="1:26" x14ac:dyDescent="0.2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2.75" customHeight="1" spans="1:26" x14ac:dyDescent="0.25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2.75" customHeight="1" spans="1:26" x14ac:dyDescent="0.25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2.75" customHeight="1" spans="1:26" x14ac:dyDescent="0.25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2.75" customHeight="1" spans="1:26" x14ac:dyDescent="0.25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2.75" customHeight="1" spans="1:26" x14ac:dyDescent="0.25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2.75" customHeight="1" spans="1:26" x14ac:dyDescent="0.25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2.75" customHeight="1" spans="1:26" x14ac:dyDescent="0.25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2.75" customHeight="1" spans="1:26" x14ac:dyDescent="0.25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2.75" customHeight="1" spans="1:26" x14ac:dyDescent="0.25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2.75" customHeight="1" spans="1:26" x14ac:dyDescent="0.2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2.75" customHeight="1" spans="1:26" x14ac:dyDescent="0.25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2.75" customHeight="1" spans="1:26" x14ac:dyDescent="0.25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2.75" customHeight="1" spans="1:26" x14ac:dyDescent="0.25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2.75" customHeight="1" spans="1:26" x14ac:dyDescent="0.25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2.75" customHeight="1" spans="1:26" x14ac:dyDescent="0.25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2.75" customHeight="1" spans="1:26" x14ac:dyDescent="0.25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2.75" customHeight="1" spans="1:26" x14ac:dyDescent="0.25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2.75" customHeight="1" spans="1:26" x14ac:dyDescent="0.25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2.75" customHeight="1" spans="1:26" x14ac:dyDescent="0.25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2.75" customHeight="1" spans="1:26" x14ac:dyDescent="0.2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2.75" customHeight="1" spans="1:26" x14ac:dyDescent="0.25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2.75" customHeight="1" spans="1:26" x14ac:dyDescent="0.25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2.75" customHeight="1" spans="1:26" x14ac:dyDescent="0.25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2.75" customHeight="1" spans="1:26" x14ac:dyDescent="0.25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2.75" customHeight="1" spans="1:26" x14ac:dyDescent="0.25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2.75" customHeight="1" spans="1:26" x14ac:dyDescent="0.25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2.75" customHeight="1" spans="1:26" x14ac:dyDescent="0.25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2.75" customHeight="1" spans="1:26" x14ac:dyDescent="0.25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2.75" customHeight="1" spans="1:26" x14ac:dyDescent="0.25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2.75" customHeight="1" spans="1:26" x14ac:dyDescent="0.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2.75" customHeight="1" spans="1:26" x14ac:dyDescent="0.25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2.75" customHeight="1" spans="1:26" x14ac:dyDescent="0.25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2.75" customHeight="1" spans="1:26" x14ac:dyDescent="0.25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2.75" customHeight="1" spans="1:26" x14ac:dyDescent="0.25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2.75" customHeight="1" spans="1:26" x14ac:dyDescent="0.25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2.75" customHeight="1" spans="1:26" x14ac:dyDescent="0.25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2.75" customHeight="1" spans="1:26" x14ac:dyDescent="0.25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2.75" customHeight="1" spans="1:26" x14ac:dyDescent="0.25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2.75" customHeight="1" spans="1:26" x14ac:dyDescent="0.25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2.75" customHeight="1" spans="1:26" x14ac:dyDescent="0.2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2.75" customHeight="1" spans="1:26" x14ac:dyDescent="0.25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2.75" customHeight="1" spans="1:26" x14ac:dyDescent="0.25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2.75" customHeight="1" spans="1:26" x14ac:dyDescent="0.25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2.75" customHeight="1" spans="1:26" x14ac:dyDescent="0.25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2.75" customHeight="1" spans="1:26" x14ac:dyDescent="0.25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2.75" customHeight="1" spans="1:26" x14ac:dyDescent="0.25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2.75" customHeight="1" spans="1:26" x14ac:dyDescent="0.25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2.75" customHeight="1" spans="1:26" x14ac:dyDescent="0.25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2.75" customHeight="1" spans="1:26" x14ac:dyDescent="0.25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2.75" customHeight="1" spans="1:26" x14ac:dyDescent="0.2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2.75" customHeight="1" spans="1:26" x14ac:dyDescent="0.25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2.75" customHeight="1" spans="1:26" x14ac:dyDescent="0.25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2.75" customHeight="1" spans="1:26" x14ac:dyDescent="0.25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2.75" customHeight="1" spans="1:26" x14ac:dyDescent="0.25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2.75" customHeight="1" spans="1:26" x14ac:dyDescent="0.25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2.75" customHeight="1" spans="1:26" x14ac:dyDescent="0.25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2.75" customHeight="1" spans="1:26" x14ac:dyDescent="0.25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2.75" customHeight="1" spans="1:26" x14ac:dyDescent="0.25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2.75" customHeight="1" spans="1:26" x14ac:dyDescent="0.25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2.75" customHeight="1" spans="1:26" x14ac:dyDescent="0.2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2.75" customHeight="1" spans="1:26" x14ac:dyDescent="0.25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2.75" customHeight="1" spans="1:26" x14ac:dyDescent="0.25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2.75" customHeight="1" spans="1:26" x14ac:dyDescent="0.25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2.75" customHeight="1" spans="1:26" x14ac:dyDescent="0.25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2.75" customHeight="1" spans="1:26" x14ac:dyDescent="0.25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2.75" customHeight="1" spans="1:26" x14ac:dyDescent="0.25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2.75" customHeight="1" spans="1:26" x14ac:dyDescent="0.25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2.75" customHeight="1" spans="1:26" x14ac:dyDescent="0.25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2.75" customHeight="1" spans="1:26" x14ac:dyDescent="0.25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2.75" customHeight="1" spans="1:26" x14ac:dyDescent="0.2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2.75" customHeight="1" spans="1:26" x14ac:dyDescent="0.25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2.75" customHeight="1" spans="1:26" x14ac:dyDescent="0.25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2.75" customHeight="1" spans="1:26" x14ac:dyDescent="0.25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2.75" customHeight="1" spans="1:26" x14ac:dyDescent="0.25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2.75" customHeight="1" spans="1:26" x14ac:dyDescent="0.25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2.75" customHeight="1" spans="1:26" x14ac:dyDescent="0.25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2.75" customHeight="1" spans="1:26" x14ac:dyDescent="0.25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2.75" customHeight="1" spans="1:26" x14ac:dyDescent="0.25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2.75" customHeight="1" spans="1:26" x14ac:dyDescent="0.25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2.75" customHeight="1" spans="1:26" x14ac:dyDescent="0.2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2.75" customHeight="1" spans="1:26" x14ac:dyDescent="0.25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2.75" customHeight="1" spans="1:26" x14ac:dyDescent="0.25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2.75" customHeight="1" spans="1:26" x14ac:dyDescent="0.25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2.75" customHeight="1" spans="1:26" x14ac:dyDescent="0.25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2.75" customHeight="1" spans="1:26" x14ac:dyDescent="0.25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2.75" customHeight="1" spans="1:26" x14ac:dyDescent="0.25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2.75" customHeight="1" spans="1:26" x14ac:dyDescent="0.25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2.75" customHeight="1" spans="1:26" x14ac:dyDescent="0.25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2.75" customHeight="1" spans="1:26" x14ac:dyDescent="0.25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2.75" customHeight="1" spans="1:26" x14ac:dyDescent="0.2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2.75" customHeight="1" spans="1:26" x14ac:dyDescent="0.25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2.75" customHeight="1" spans="1:26" x14ac:dyDescent="0.25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2.75" customHeight="1" spans="1:26" x14ac:dyDescent="0.25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2.75" customHeight="1" spans="1:26" x14ac:dyDescent="0.25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2.75" customHeight="1" spans="1:26" x14ac:dyDescent="0.25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2.75" customHeight="1" spans="1:26" x14ac:dyDescent="0.25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2.75" customHeight="1" spans="1:26" x14ac:dyDescent="0.25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2.75" customHeight="1" spans="1:26" x14ac:dyDescent="0.25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2.75" customHeight="1" spans="1:26" x14ac:dyDescent="0.25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2.75" customHeight="1" spans="1:26" x14ac:dyDescent="0.2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2.75" customHeight="1" spans="1:26" x14ac:dyDescent="0.25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2.75" customHeight="1" spans="1:26" x14ac:dyDescent="0.25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2.75" customHeight="1" spans="1:26" x14ac:dyDescent="0.25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2.75" customHeight="1" spans="1:26" x14ac:dyDescent="0.25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2.75" customHeight="1" spans="1:26" x14ac:dyDescent="0.25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2.75" customHeight="1" spans="1:26" x14ac:dyDescent="0.25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2.75" customHeight="1" spans="1:26" x14ac:dyDescent="0.25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2.75" customHeight="1" spans="1:26" x14ac:dyDescent="0.25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2.75" customHeight="1" spans="1:26" x14ac:dyDescent="0.25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2.75" customHeight="1" spans="1:26" x14ac:dyDescent="0.2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2.75" customHeight="1" spans="1:26" x14ac:dyDescent="0.25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2.75" customHeight="1" spans="1:26" x14ac:dyDescent="0.25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2.75" customHeight="1" spans="1:26" x14ac:dyDescent="0.25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2.75" customHeight="1" spans="1:26" x14ac:dyDescent="0.25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2.75" customHeight="1" spans="1:26" x14ac:dyDescent="0.25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2.75" customHeight="1" spans="1:26" x14ac:dyDescent="0.25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2.75" customHeight="1" spans="1:26" x14ac:dyDescent="0.25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2.75" customHeight="1" spans="1:26" x14ac:dyDescent="0.25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2.75" customHeight="1" spans="1:26" x14ac:dyDescent="0.25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2.75" customHeight="1" spans="1:26" x14ac:dyDescent="0.2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2.75" customHeight="1" spans="1:26" x14ac:dyDescent="0.25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2.75" customHeight="1" spans="1:26" x14ac:dyDescent="0.25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2.75" customHeight="1" spans="1:26" x14ac:dyDescent="0.25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2.75" customHeight="1" spans="1:26" x14ac:dyDescent="0.25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2.75" customHeight="1" spans="1:26" x14ac:dyDescent="0.25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2.75" customHeight="1" spans="1:26" x14ac:dyDescent="0.25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2.75" customHeight="1" spans="1:26" x14ac:dyDescent="0.25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2.75" customHeight="1" spans="1:26" x14ac:dyDescent="0.25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2.75" customHeight="1" spans="1:26" x14ac:dyDescent="0.25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2.75" customHeight="1" spans="1:26" x14ac:dyDescent="0.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2.75" customHeight="1" spans="1:26" x14ac:dyDescent="0.25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2.75" customHeight="1" spans="1:26" x14ac:dyDescent="0.25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2.75" customHeight="1" spans="1:26" x14ac:dyDescent="0.25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2.75" customHeight="1" spans="1:26" x14ac:dyDescent="0.25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2.75" customHeight="1" spans="1:26" x14ac:dyDescent="0.25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2.75" customHeight="1" spans="1:26" x14ac:dyDescent="0.25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2.75" customHeight="1" spans="1:26" x14ac:dyDescent="0.25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2.75" customHeight="1" spans="1:26" x14ac:dyDescent="0.25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2.75" customHeight="1" spans="1:26" x14ac:dyDescent="0.25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2.75" customHeight="1" spans="1:26" x14ac:dyDescent="0.2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2.75" customHeight="1" spans="1:26" x14ac:dyDescent="0.25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2.75" customHeight="1" spans="1:26" x14ac:dyDescent="0.25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2.75" customHeight="1" spans="1:26" x14ac:dyDescent="0.25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2.75" customHeight="1" spans="1:26" x14ac:dyDescent="0.25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2.75" customHeight="1" spans="1:26" x14ac:dyDescent="0.25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2.75" customHeight="1" spans="1:26" x14ac:dyDescent="0.25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2.75" customHeight="1" spans="1:26" x14ac:dyDescent="0.25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2.75" customHeight="1" spans="1:26" x14ac:dyDescent="0.25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2.75" customHeight="1" spans="1:26" x14ac:dyDescent="0.25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2.75" customHeight="1" spans="1:26" x14ac:dyDescent="0.2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2.75" customHeight="1" spans="1:26" x14ac:dyDescent="0.25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2.75" customHeight="1" spans="1:26" x14ac:dyDescent="0.25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2.75" customHeight="1" spans="1:26" x14ac:dyDescent="0.25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2.75" customHeight="1" spans="1:26" x14ac:dyDescent="0.25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2.75" customHeight="1" spans="1:26" x14ac:dyDescent="0.25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2.75" customHeight="1" spans="1:26" x14ac:dyDescent="0.25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2.75" customHeight="1" spans="1:26" x14ac:dyDescent="0.25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2.75" customHeight="1" spans="1:26" x14ac:dyDescent="0.25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2.75" customHeight="1" spans="1:26" x14ac:dyDescent="0.25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2.75" customHeight="1" spans="1:26" x14ac:dyDescent="0.2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2.75" customHeight="1" spans="1:26" x14ac:dyDescent="0.25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2.75" customHeight="1" spans="1:26" x14ac:dyDescent="0.25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2.75" customHeight="1" spans="1:26" x14ac:dyDescent="0.25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2.75" customHeight="1" spans="1:26" x14ac:dyDescent="0.25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2.75" customHeight="1" spans="1:26" x14ac:dyDescent="0.25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2.75" customHeight="1" spans="1:26" x14ac:dyDescent="0.25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2.75" customHeight="1" spans="1:26" x14ac:dyDescent="0.25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2.75" customHeight="1" spans="1:26" x14ac:dyDescent="0.25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2.75" customHeight="1" spans="1:26" x14ac:dyDescent="0.25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2.75" customHeight="1" spans="1:26" x14ac:dyDescent="0.2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2.75" customHeight="1" spans="1:26" x14ac:dyDescent="0.25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2.75" customHeight="1" spans="1:26" x14ac:dyDescent="0.25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2.75" customHeight="1" spans="1:26" x14ac:dyDescent="0.25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2.75" customHeight="1" spans="1:26" x14ac:dyDescent="0.25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2.75" customHeight="1" spans="1:26" x14ac:dyDescent="0.25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2.75" customHeight="1" spans="1:26" x14ac:dyDescent="0.25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2.75" customHeight="1" spans="1:26" x14ac:dyDescent="0.25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2.75" customHeight="1" spans="1:26" x14ac:dyDescent="0.25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2.75" customHeight="1" spans="1:26" x14ac:dyDescent="0.25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2.75" customHeight="1" spans="1:26" x14ac:dyDescent="0.2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2.75" customHeight="1" spans="1:26" x14ac:dyDescent="0.25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2.75" customHeight="1" spans="1:26" x14ac:dyDescent="0.25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2.75" customHeight="1" spans="1:26" x14ac:dyDescent="0.25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2.75" customHeight="1" spans="1:26" x14ac:dyDescent="0.25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2.75" customHeight="1" spans="1:26" x14ac:dyDescent="0.25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2.75" customHeight="1" spans="1:26" x14ac:dyDescent="0.25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2.75" customHeight="1" spans="1:26" x14ac:dyDescent="0.25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2.75" customHeight="1" spans="1:26" x14ac:dyDescent="0.25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2.75" customHeight="1" spans="1:26" x14ac:dyDescent="0.25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2.75" customHeight="1" spans="1:26" x14ac:dyDescent="0.2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2.75" customHeight="1" spans="1:26" x14ac:dyDescent="0.25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2.75" customHeight="1" spans="1:26" x14ac:dyDescent="0.25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2.75" customHeight="1" spans="1:26" x14ac:dyDescent="0.25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2.75" customHeight="1" spans="1:26" x14ac:dyDescent="0.25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2.75" customHeight="1" spans="1:26" x14ac:dyDescent="0.25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2.75" customHeight="1" spans="1:26" x14ac:dyDescent="0.25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2.75" customHeight="1" spans="1:26" x14ac:dyDescent="0.25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2.75" customHeight="1" spans="1:26" x14ac:dyDescent="0.25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2.75" customHeight="1" spans="1:26" x14ac:dyDescent="0.25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2.75" customHeight="1" spans="1:26" x14ac:dyDescent="0.2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2.75" customHeight="1" spans="1:26" x14ac:dyDescent="0.25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2.75" customHeight="1" spans="1:26" x14ac:dyDescent="0.25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2.75" customHeight="1" spans="1:26" x14ac:dyDescent="0.25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2.75" customHeight="1" spans="1:26" x14ac:dyDescent="0.25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2.75" customHeight="1" spans="1:26" x14ac:dyDescent="0.25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2.75" customHeight="1" spans="1:26" x14ac:dyDescent="0.25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2.75" customHeight="1" spans="1:26" x14ac:dyDescent="0.25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2.75" customHeight="1" spans="1:26" x14ac:dyDescent="0.25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2.75" customHeight="1" spans="1:26" x14ac:dyDescent="0.25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2.75" customHeight="1" spans="1:26" x14ac:dyDescent="0.2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2.75" customHeight="1" spans="1:26" x14ac:dyDescent="0.25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2.75" customHeight="1" spans="1:26" x14ac:dyDescent="0.25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2.75" customHeight="1" spans="1:26" x14ac:dyDescent="0.25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2.75" customHeight="1" spans="1:26" x14ac:dyDescent="0.25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2.75" customHeight="1" spans="1:26" x14ac:dyDescent="0.25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2.75" customHeight="1" spans="1:26" x14ac:dyDescent="0.25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2.75" customHeight="1" spans="1:26" x14ac:dyDescent="0.25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2.75" customHeight="1" spans="1:26" x14ac:dyDescent="0.25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2.75" customHeight="1" spans="1:26" x14ac:dyDescent="0.25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2.75" customHeight="1" spans="1:26" x14ac:dyDescent="0.2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2.75" customHeight="1" spans="1:26" x14ac:dyDescent="0.25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2.75" customHeight="1" spans="1:26" x14ac:dyDescent="0.25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2.75" customHeight="1" spans="1:26" x14ac:dyDescent="0.25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2.75" customHeight="1" spans="1:26" x14ac:dyDescent="0.25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2.75" customHeight="1" spans="1:26" x14ac:dyDescent="0.25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2.75" customHeight="1" spans="1:26" x14ac:dyDescent="0.25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2.75" customHeight="1" spans="1:26" x14ac:dyDescent="0.25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2.75" customHeight="1" spans="1:26" x14ac:dyDescent="0.25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2.75" customHeight="1" spans="1:26" x14ac:dyDescent="0.25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2.75" customHeight="1" spans="1:26" x14ac:dyDescent="0.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2.75" customHeight="1" spans="1:26" x14ac:dyDescent="0.25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2.75" customHeight="1" spans="1:26" x14ac:dyDescent="0.25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2.75" customHeight="1" spans="1:26" x14ac:dyDescent="0.25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2.75" customHeight="1" spans="1:26" x14ac:dyDescent="0.25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2.75" customHeight="1" spans="1:26" x14ac:dyDescent="0.25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2.75" customHeight="1" spans="1:26" x14ac:dyDescent="0.25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2.75" customHeight="1" spans="1:26" x14ac:dyDescent="0.25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2.75" customHeight="1" spans="1:26" x14ac:dyDescent="0.25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2.75" customHeight="1" spans="1:26" x14ac:dyDescent="0.25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2.75" customHeight="1" spans="1:26" x14ac:dyDescent="0.2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2.75" customHeight="1" spans="1:26" x14ac:dyDescent="0.25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2.75" customHeight="1" spans="1:26" x14ac:dyDescent="0.25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2.75" customHeight="1" spans="1:26" x14ac:dyDescent="0.25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2.75" customHeight="1" spans="1:26" x14ac:dyDescent="0.25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2.75" customHeight="1" spans="1:26" x14ac:dyDescent="0.25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2.75" customHeight="1" spans="1:26" x14ac:dyDescent="0.25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2.75" customHeight="1" spans="1:26" x14ac:dyDescent="0.25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2.75" customHeight="1" spans="1:26" x14ac:dyDescent="0.25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2.75" customHeight="1" spans="1:26" x14ac:dyDescent="0.25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2.75" customHeight="1" spans="1:26" x14ac:dyDescent="0.2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2.75" customHeight="1" spans="1:26" x14ac:dyDescent="0.25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2.75" customHeight="1" spans="1:26" x14ac:dyDescent="0.25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2.75" customHeight="1" spans="1:26" x14ac:dyDescent="0.25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2.75" customHeight="1" spans="1:26" x14ac:dyDescent="0.25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2.75" customHeight="1" spans="1:26" x14ac:dyDescent="0.25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2.75" customHeight="1" spans="1:26" x14ac:dyDescent="0.25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2.75" customHeight="1" spans="1:26" x14ac:dyDescent="0.25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2.75" customHeight="1" spans="1:26" x14ac:dyDescent="0.25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2.75" customHeight="1" spans="1:26" x14ac:dyDescent="0.25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2.75" customHeight="1" spans="1:26" x14ac:dyDescent="0.2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2.75" customHeight="1" spans="1:26" x14ac:dyDescent="0.25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2.75" customHeight="1" spans="1:26" x14ac:dyDescent="0.25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2.75" customHeight="1" spans="1:26" x14ac:dyDescent="0.25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2.75" customHeight="1" spans="1:26" x14ac:dyDescent="0.25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2.75" customHeight="1" spans="1:26" x14ac:dyDescent="0.25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2.75" customHeight="1" spans="1:26" x14ac:dyDescent="0.25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2.75" customHeight="1" spans="1:26" x14ac:dyDescent="0.25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2.75" customHeight="1" spans="1:26" x14ac:dyDescent="0.25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2.75" customHeight="1" spans="1:26" x14ac:dyDescent="0.25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2.75" customHeight="1" spans="1:26" x14ac:dyDescent="0.2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2.75" customHeight="1" spans="1:26" x14ac:dyDescent="0.25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2.75" customHeight="1" spans="1:26" x14ac:dyDescent="0.25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2.75" customHeight="1" spans="1:26" x14ac:dyDescent="0.25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2.75" customHeight="1" spans="1:26" x14ac:dyDescent="0.25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2.75" customHeight="1" spans="1:26" x14ac:dyDescent="0.25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2.75" customHeight="1" spans="1:26" x14ac:dyDescent="0.25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2.75" customHeight="1" spans="1:26" x14ac:dyDescent="0.25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2.75" customHeight="1" spans="1:26" x14ac:dyDescent="0.25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2.75" customHeight="1" spans="1:26" x14ac:dyDescent="0.25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2.75" customHeight="1" spans="1:26" x14ac:dyDescent="0.2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2.75" customHeight="1" spans="1:26" x14ac:dyDescent="0.25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2.75" customHeight="1" spans="1:26" x14ac:dyDescent="0.25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2.75" customHeight="1" spans="1:26" x14ac:dyDescent="0.25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2.75" customHeight="1" spans="1:26" x14ac:dyDescent="0.25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2.75" customHeight="1" spans="1:26" x14ac:dyDescent="0.25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2.75" customHeight="1" spans="1:26" x14ac:dyDescent="0.25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2.75" customHeight="1" spans="1:26" x14ac:dyDescent="0.25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2.75" customHeight="1" spans="1:26" x14ac:dyDescent="0.25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2.75" customHeight="1" spans="1:26" x14ac:dyDescent="0.25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2.75" customHeight="1" spans="1:26" x14ac:dyDescent="0.2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2.75" customHeight="1" spans="1:26" x14ac:dyDescent="0.25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2.75" customHeight="1" spans="1:26" x14ac:dyDescent="0.25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2.75" customHeight="1" spans="1:26" x14ac:dyDescent="0.25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2.75" customHeight="1" spans="1:26" x14ac:dyDescent="0.25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2.75" customHeight="1" spans="1:26" x14ac:dyDescent="0.25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2.75" customHeight="1" spans="1:26" x14ac:dyDescent="0.25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2.75" customHeight="1" spans="1:26" x14ac:dyDescent="0.25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2.75" customHeight="1" spans="1:26" x14ac:dyDescent="0.25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2.75" customHeight="1" spans="1:26" x14ac:dyDescent="0.25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2.75" customHeight="1" spans="1:26" x14ac:dyDescent="0.2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2.75" customHeight="1" spans="1:26" x14ac:dyDescent="0.25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2.75" customHeight="1" spans="1:26" x14ac:dyDescent="0.25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2.75" customHeight="1" spans="1:26" x14ac:dyDescent="0.25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2.75" customHeight="1" spans="1:26" x14ac:dyDescent="0.25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2.75" customHeight="1" spans="1:26" x14ac:dyDescent="0.25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2.75" customHeight="1" spans="1:26" x14ac:dyDescent="0.25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2.75" customHeight="1" spans="1:26" x14ac:dyDescent="0.25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2.75" customHeight="1" spans="1:26" x14ac:dyDescent="0.25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2.75" customHeight="1" spans="1:26" x14ac:dyDescent="0.25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2.75" customHeight="1" spans="1:26" x14ac:dyDescent="0.2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2.75" customHeight="1" spans="1:26" x14ac:dyDescent="0.25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2.75" customHeight="1" spans="1:26" x14ac:dyDescent="0.25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2.75" customHeight="1" spans="1:26" x14ac:dyDescent="0.25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2.75" customHeight="1" spans="1:26" x14ac:dyDescent="0.25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2.75" customHeight="1" spans="1:26" x14ac:dyDescent="0.25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2.75" customHeight="1" spans="1:26" x14ac:dyDescent="0.25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2.75" customHeight="1" spans="1:26" x14ac:dyDescent="0.25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2.75" customHeight="1" spans="1:26" x14ac:dyDescent="0.25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2.75" customHeight="1" spans="1:26" x14ac:dyDescent="0.25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2.75" customHeight="1" spans="1:26" x14ac:dyDescent="0.2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2.75" customHeight="1" spans="1:26" x14ac:dyDescent="0.25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2.75" customHeight="1" spans="1:26" x14ac:dyDescent="0.25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2.75" customHeight="1" spans="1:26" x14ac:dyDescent="0.25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2.75" customHeight="1" spans="1:26" x14ac:dyDescent="0.25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2.75" customHeight="1" spans="1:26" x14ac:dyDescent="0.25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2.75" customHeight="1" spans="1:26" x14ac:dyDescent="0.25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2.75" customHeight="1" spans="1:26" x14ac:dyDescent="0.25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2.75" customHeight="1" spans="1:26" x14ac:dyDescent="0.25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2.75" customHeight="1" spans="1:26" x14ac:dyDescent="0.25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2.75" customHeight="1" spans="1:26" x14ac:dyDescent="0.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2.75" customHeight="1" spans="1:26" x14ac:dyDescent="0.25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2.75" customHeight="1" spans="1:26" x14ac:dyDescent="0.25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2.75" customHeight="1" spans="1:26" x14ac:dyDescent="0.25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2.75" customHeight="1" spans="1:26" x14ac:dyDescent="0.25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2.75" customHeight="1" spans="1:26" x14ac:dyDescent="0.25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2.75" customHeight="1" spans="1:26" x14ac:dyDescent="0.25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2.75" customHeight="1" spans="1:26" x14ac:dyDescent="0.25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2.75" customHeight="1" spans="1:26" x14ac:dyDescent="0.25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2.75" customHeight="1" spans="1:26" x14ac:dyDescent="0.25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2.75" customHeight="1" spans="1:26" x14ac:dyDescent="0.2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2.75" customHeight="1" spans="1:26" x14ac:dyDescent="0.25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2.75" customHeight="1" spans="1:26" x14ac:dyDescent="0.25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2.75" customHeight="1" spans="1:26" x14ac:dyDescent="0.25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2.75" customHeight="1" spans="1:26" x14ac:dyDescent="0.25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2.75" customHeight="1" spans="1:26" x14ac:dyDescent="0.25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2.75" customHeight="1" spans="1:26" x14ac:dyDescent="0.25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2.75" customHeight="1" spans="1:26" x14ac:dyDescent="0.25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2.75" customHeight="1" spans="1:26" x14ac:dyDescent="0.25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2.75" customHeight="1" spans="1:26" x14ac:dyDescent="0.25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2.75" customHeight="1" spans="1:26" x14ac:dyDescent="0.2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2.75" customHeight="1" spans="1:26" x14ac:dyDescent="0.25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2.75" customHeight="1" spans="1:26" x14ac:dyDescent="0.25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2.75" customHeight="1" spans="1:26" x14ac:dyDescent="0.25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2.75" customHeight="1" spans="1:26" x14ac:dyDescent="0.25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2.75" customHeight="1" spans="1:26" x14ac:dyDescent="0.25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2.75" customHeight="1" spans="1:26" x14ac:dyDescent="0.25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2.75" customHeight="1" spans="1:26" x14ac:dyDescent="0.25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2.75" customHeight="1" spans="1:26" x14ac:dyDescent="0.25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2.75" customHeight="1" spans="1:26" x14ac:dyDescent="0.25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2.75" customHeight="1" spans="1:26" x14ac:dyDescent="0.2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2.75" customHeight="1" spans="1:26" x14ac:dyDescent="0.25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2.75" customHeight="1" spans="1:26" x14ac:dyDescent="0.25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2.75" customHeight="1" spans="1:26" x14ac:dyDescent="0.25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2.75" customHeight="1" spans="1:26" x14ac:dyDescent="0.25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2.75" customHeight="1" spans="1:26" x14ac:dyDescent="0.25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2.75" customHeight="1" spans="1:26" x14ac:dyDescent="0.25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2.75" customHeight="1" spans="1:26" x14ac:dyDescent="0.25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2.75" customHeight="1" spans="1:26" x14ac:dyDescent="0.25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2.75" customHeight="1" spans="1:26" x14ac:dyDescent="0.25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2.75" customHeight="1" spans="1:26" x14ac:dyDescent="0.2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2.75" customHeight="1" spans="1:26" x14ac:dyDescent="0.25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2.75" customHeight="1" spans="1:26" x14ac:dyDescent="0.25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2.75" customHeight="1" spans="1:26" x14ac:dyDescent="0.25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2.75" customHeight="1" spans="1:26" x14ac:dyDescent="0.25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2.75" customHeight="1" spans="1:26" x14ac:dyDescent="0.25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2.75" customHeight="1" spans="1:26" x14ac:dyDescent="0.25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2.75" customHeight="1" spans="1:26" x14ac:dyDescent="0.25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2.75" customHeight="1" spans="1:26" x14ac:dyDescent="0.25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2.75" customHeight="1" spans="1:26" x14ac:dyDescent="0.25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2.75" customHeight="1" spans="1:26" x14ac:dyDescent="0.2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2.75" customHeight="1" spans="1:26" x14ac:dyDescent="0.25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2.75" customHeight="1" spans="1:26" x14ac:dyDescent="0.25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2.75" customHeight="1" spans="1:26" x14ac:dyDescent="0.25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2.75" customHeight="1" spans="1:26" x14ac:dyDescent="0.25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2.75" customHeight="1" spans="1:26" x14ac:dyDescent="0.25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2.75" customHeight="1" spans="1:26" x14ac:dyDescent="0.25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2.75" customHeight="1" spans="1:26" x14ac:dyDescent="0.25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2.75" customHeight="1" spans="1:26" x14ac:dyDescent="0.25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2.75" customHeight="1" spans="1:26" x14ac:dyDescent="0.25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2.75" customHeight="1" spans="1:26" x14ac:dyDescent="0.2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2.75" customHeight="1" spans="1:26" x14ac:dyDescent="0.25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2.75" customHeight="1" spans="1:26" x14ac:dyDescent="0.25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2.75" customHeight="1" spans="1:26" x14ac:dyDescent="0.25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2.75" customHeight="1" spans="1:26" x14ac:dyDescent="0.25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2.75" customHeight="1" spans="1:26" x14ac:dyDescent="0.25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2.75" customHeight="1" spans="1:26" x14ac:dyDescent="0.25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2.75" customHeight="1" spans="1:26" x14ac:dyDescent="0.25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2.75" customHeight="1" spans="1:26" x14ac:dyDescent="0.25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2.75" customHeight="1" spans="1:26" x14ac:dyDescent="0.25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2.75" customHeight="1" spans="1:26" x14ac:dyDescent="0.2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2.75" customHeight="1" spans="1:26" x14ac:dyDescent="0.25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2.75" customHeight="1" spans="1:26" x14ac:dyDescent="0.25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2.75" customHeight="1" spans="1:26" x14ac:dyDescent="0.25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2.75" customHeight="1" spans="1:26" x14ac:dyDescent="0.25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2.75" customHeight="1" spans="1:26" x14ac:dyDescent="0.25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2.75" customHeight="1" spans="1:26" x14ac:dyDescent="0.25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2.75" customHeight="1" spans="1:26" x14ac:dyDescent="0.25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2.75" customHeight="1" spans="1:26" x14ac:dyDescent="0.25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2.75" customHeight="1" spans="1:26" x14ac:dyDescent="0.25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2.75" customHeight="1" spans="1:26" x14ac:dyDescent="0.2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2.75" customHeight="1" spans="1:26" x14ac:dyDescent="0.25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2.75" customHeight="1" spans="1:26" x14ac:dyDescent="0.25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2.75" customHeight="1" spans="1:26" x14ac:dyDescent="0.25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2.75" customHeight="1" spans="1:26" x14ac:dyDescent="0.25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2.75" customHeight="1" spans="1:26" x14ac:dyDescent="0.25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2.75" customHeight="1" spans="1:26" x14ac:dyDescent="0.25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2.75" customHeight="1" spans="1:26" x14ac:dyDescent="0.25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2.75" customHeight="1" spans="1:26" x14ac:dyDescent="0.25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2.75" customHeight="1" spans="1:26" x14ac:dyDescent="0.25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2.75" customHeight="1" spans="1:26" x14ac:dyDescent="0.2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2.75" customHeight="1" spans="1:26" x14ac:dyDescent="0.25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2.75" customHeight="1" spans="1:26" x14ac:dyDescent="0.25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2.75" customHeight="1" spans="1:26" x14ac:dyDescent="0.25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2.75" customHeight="1" spans="1:26" x14ac:dyDescent="0.25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2.75" customHeight="1" spans="1:26" x14ac:dyDescent="0.25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2.75" customHeight="1" spans="1:26" x14ac:dyDescent="0.25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2.75" customHeight="1" spans="1:26" x14ac:dyDescent="0.25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2.75" customHeight="1" spans="1:26" x14ac:dyDescent="0.25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2.75" customHeight="1" spans="1:26" x14ac:dyDescent="0.25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2.75" customHeight="1" spans="1:26" x14ac:dyDescent="0.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2.75" customHeight="1" spans="1:26" x14ac:dyDescent="0.25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2.75" customHeight="1" spans="1:26" x14ac:dyDescent="0.25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2.75" customHeight="1" spans="1:26" x14ac:dyDescent="0.25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2.75" customHeight="1" spans="1:26" x14ac:dyDescent="0.25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2.75" customHeight="1" spans="1:26" x14ac:dyDescent="0.25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2.75" customHeight="1" spans="1:26" x14ac:dyDescent="0.25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2.75" customHeight="1" spans="1:26" x14ac:dyDescent="0.25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2.75" customHeight="1" spans="1:26" x14ac:dyDescent="0.25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2.75" customHeight="1" spans="1:26" x14ac:dyDescent="0.25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2.75" customHeight="1" spans="1:26" x14ac:dyDescent="0.2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2.75" customHeight="1" spans="1:26" x14ac:dyDescent="0.25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2.75" customHeight="1" spans="1:26" x14ac:dyDescent="0.25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2.75" customHeight="1" spans="1:26" x14ac:dyDescent="0.25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2.75" customHeight="1" spans="1:26" x14ac:dyDescent="0.25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2.75" customHeight="1" spans="1:26" x14ac:dyDescent="0.25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2.75" customHeight="1" spans="1:26" x14ac:dyDescent="0.25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2.75" customHeight="1" spans="1:26" x14ac:dyDescent="0.25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2.75" customHeight="1" spans="1:26" x14ac:dyDescent="0.25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2.75" customHeight="1" spans="1:26" x14ac:dyDescent="0.25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2.75" customHeight="1" spans="1:26" x14ac:dyDescent="0.2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2.75" customHeight="1" spans="1:26" x14ac:dyDescent="0.25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2.75" customHeight="1" spans="1:26" x14ac:dyDescent="0.25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2.75" customHeight="1" spans="1:26" x14ac:dyDescent="0.25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2.75" customHeight="1" spans="1:26" x14ac:dyDescent="0.25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2.75" customHeight="1" spans="1:26" x14ac:dyDescent="0.25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2.75" customHeight="1" spans="1:26" x14ac:dyDescent="0.25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2.75" customHeight="1" spans="1:26" x14ac:dyDescent="0.25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2.75" customHeight="1" spans="1:26" x14ac:dyDescent="0.25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2.75" customHeight="1" spans="1:26" x14ac:dyDescent="0.25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2.75" customHeight="1" spans="1:26" x14ac:dyDescent="0.2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2.75" customHeight="1" spans="1:26" x14ac:dyDescent="0.25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2.75" customHeight="1" spans="1:26" x14ac:dyDescent="0.25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2.75" customHeight="1" spans="1:26" x14ac:dyDescent="0.25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2.75" customHeight="1" spans="1:26" x14ac:dyDescent="0.25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2.75" customHeight="1" spans="1:26" x14ac:dyDescent="0.25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2.75" customHeight="1" spans="1:26" x14ac:dyDescent="0.25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2.75" customHeight="1" spans="1:26" x14ac:dyDescent="0.25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2.75" customHeight="1" spans="1:26" x14ac:dyDescent="0.25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2.75" customHeight="1" spans="1:26" x14ac:dyDescent="0.25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2.75" customHeight="1" spans="1:26" x14ac:dyDescent="0.2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2.75" customHeight="1" spans="1:26" x14ac:dyDescent="0.25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2.75" customHeight="1" spans="1:26" x14ac:dyDescent="0.25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2.75" customHeight="1" spans="1:26" x14ac:dyDescent="0.25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2.75" customHeight="1" spans="1:26" x14ac:dyDescent="0.25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2.75" customHeight="1" spans="1:26" x14ac:dyDescent="0.25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2.75" customHeight="1" spans="1:26" x14ac:dyDescent="0.25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2.75" customHeight="1" spans="1:26" x14ac:dyDescent="0.25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2.75" customHeight="1" spans="1:26" x14ac:dyDescent="0.25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2.75" customHeight="1" spans="1:26" x14ac:dyDescent="0.25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2.75" customHeight="1" spans="1:26" x14ac:dyDescent="0.2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2.75" customHeight="1" spans="1:26" x14ac:dyDescent="0.25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2.75" customHeight="1" spans="1:26" x14ac:dyDescent="0.25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2.75" customHeight="1" spans="1:26" x14ac:dyDescent="0.25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2.75" customHeight="1" spans="1:26" x14ac:dyDescent="0.25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2.75" customHeight="1" spans="1:26" x14ac:dyDescent="0.25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2.75" customHeight="1" spans="1:26" x14ac:dyDescent="0.25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2.75" customHeight="1" spans="1:26" x14ac:dyDescent="0.25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2.75" customHeight="1" spans="1:26" x14ac:dyDescent="0.25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2.75" customHeight="1" spans="1:26" x14ac:dyDescent="0.25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2.75" customHeight="1" spans="1:26" x14ac:dyDescent="0.2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2.75" customHeight="1" spans="1:26" x14ac:dyDescent="0.25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2.75" customHeight="1" spans="1:26" x14ac:dyDescent="0.25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2.75" customHeight="1" spans="1:26" x14ac:dyDescent="0.25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2.75" customHeight="1" spans="1:26" x14ac:dyDescent="0.25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2.75" customHeight="1" spans="1:26" x14ac:dyDescent="0.25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2.75" customHeight="1" spans="1:26" x14ac:dyDescent="0.25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2.75" customHeight="1" spans="1:26" x14ac:dyDescent="0.25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2.75" customHeight="1" spans="1:26" x14ac:dyDescent="0.25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2.75" customHeight="1" spans="1:26" x14ac:dyDescent="0.25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2.75" customHeight="1" spans="1:26" x14ac:dyDescent="0.2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2.75" customHeight="1" spans="1:26" x14ac:dyDescent="0.25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2.75" customHeight="1" spans="1:26" x14ac:dyDescent="0.25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2.75" customHeight="1" spans="1:26" x14ac:dyDescent="0.25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2.75" customHeight="1" spans="1:26" x14ac:dyDescent="0.25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2.75" customHeight="1" spans="1:26" x14ac:dyDescent="0.25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2.75" customHeight="1" spans="1:26" x14ac:dyDescent="0.25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2.75" customHeight="1" spans="1:26" x14ac:dyDescent="0.25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2.75" customHeight="1" spans="1:26" x14ac:dyDescent="0.25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2.75" customHeight="1" spans="1:26" x14ac:dyDescent="0.25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2.75" customHeight="1" spans="1:26" x14ac:dyDescent="0.2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2.75" customHeight="1" spans="1:26" x14ac:dyDescent="0.25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2.75" customHeight="1" spans="1:26" x14ac:dyDescent="0.25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2.75" customHeight="1" spans="1:26" x14ac:dyDescent="0.25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2.75" customHeight="1" spans="1:26" x14ac:dyDescent="0.25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2.75" customHeight="1" spans="1:26" x14ac:dyDescent="0.25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2.75" customHeight="1" spans="1:26" x14ac:dyDescent="0.25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2.75" customHeight="1" spans="1:26" x14ac:dyDescent="0.25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2.75" customHeight="1" spans="1:26" x14ac:dyDescent="0.25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2.75" customHeight="1" spans="1:26" x14ac:dyDescent="0.25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2.75" customHeight="1" spans="1:26" x14ac:dyDescent="0.2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2.75" customHeight="1" spans="1:26" x14ac:dyDescent="0.25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2.75" customHeight="1" spans="1:26" x14ac:dyDescent="0.25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2.75" customHeight="1" spans="1:26" x14ac:dyDescent="0.25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2.75" customHeight="1" spans="1:26" x14ac:dyDescent="0.25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2.75" customHeight="1" spans="1:26" x14ac:dyDescent="0.25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2.75" customHeight="1" spans="1:26" x14ac:dyDescent="0.25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2.75" customHeight="1" spans="1:26" x14ac:dyDescent="0.25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2.75" customHeight="1" spans="1:26" x14ac:dyDescent="0.25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2.75" customHeight="1" spans="1:26" x14ac:dyDescent="0.25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2.75" customHeight="1" spans="1:26" x14ac:dyDescent="0.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2.75" customHeight="1" spans="1:26" x14ac:dyDescent="0.25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2.75" customHeight="1" spans="1:26" x14ac:dyDescent="0.25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2.75" customHeight="1" spans="1:26" x14ac:dyDescent="0.25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2.75" customHeight="1" spans="1:26" x14ac:dyDescent="0.25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2.75" customHeight="1" spans="1:26" x14ac:dyDescent="0.25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2.75" customHeight="1" spans="1:26" x14ac:dyDescent="0.25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2.75" customHeight="1" spans="1:26" x14ac:dyDescent="0.25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2.75" customHeight="1" spans="1:26" x14ac:dyDescent="0.25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2.75" customHeight="1" spans="1:26" x14ac:dyDescent="0.25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2.75" customHeight="1" spans="1:26" x14ac:dyDescent="0.2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2.75" customHeight="1" spans="1:26" x14ac:dyDescent="0.25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2.75" customHeight="1" spans="1:26" x14ac:dyDescent="0.25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2.75" customHeight="1" spans="1:26" x14ac:dyDescent="0.25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2.75" customHeight="1" spans="1:26" x14ac:dyDescent="0.25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2.75" customHeight="1" spans="1:26" x14ac:dyDescent="0.25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2.75" customHeight="1" spans="1:26" x14ac:dyDescent="0.25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2.75" customHeight="1" spans="1:26" x14ac:dyDescent="0.25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2.75" customHeight="1" spans="1:26" x14ac:dyDescent="0.25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2.75" customHeight="1" spans="1:26" x14ac:dyDescent="0.25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2.75" customHeight="1" spans="1:26" x14ac:dyDescent="0.2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2.75" customHeight="1" spans="1:26" x14ac:dyDescent="0.25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2.75" customHeight="1" spans="1:26" x14ac:dyDescent="0.25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2.75" customHeight="1" spans="1:26" x14ac:dyDescent="0.25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2.75" customHeight="1" spans="1:26" x14ac:dyDescent="0.25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2.75" customHeight="1" spans="1:26" x14ac:dyDescent="0.25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2.75" customHeight="1" spans="1:26" x14ac:dyDescent="0.25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2.75" customHeight="1" spans="1:26" x14ac:dyDescent="0.25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2.75" customHeight="1" spans="1:26" x14ac:dyDescent="0.25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2.75" customHeight="1" spans="1:26" x14ac:dyDescent="0.25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2.75" customHeight="1" spans="1:26" x14ac:dyDescent="0.2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2.75" customHeight="1" spans="1:26" x14ac:dyDescent="0.25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2.75" customHeight="1" spans="1:26" x14ac:dyDescent="0.25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2.75" customHeight="1" spans="1:26" x14ac:dyDescent="0.25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2.75" customHeight="1" spans="1:26" x14ac:dyDescent="0.25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2.75" customHeight="1" spans="1:26" x14ac:dyDescent="0.25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2.75" customHeight="1" spans="1:26" x14ac:dyDescent="0.25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2.75" customHeight="1" spans="1:26" x14ac:dyDescent="0.25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2.75" customHeight="1" spans="1:26" x14ac:dyDescent="0.25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2.75" customHeight="1" spans="1:26" x14ac:dyDescent="0.25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2.75" customHeight="1" spans="1:26" x14ac:dyDescent="0.2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2.75" customHeight="1" spans="1:26" x14ac:dyDescent="0.25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2.75" customHeight="1" spans="1:26" x14ac:dyDescent="0.25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2.75" customHeight="1" spans="1:26" x14ac:dyDescent="0.25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2.75" customHeight="1" spans="1:26" x14ac:dyDescent="0.25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2.75" customHeight="1" spans="1:26" x14ac:dyDescent="0.25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2.75" customHeight="1" spans="1:26" x14ac:dyDescent="0.25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2.75" customHeight="1" spans="1:26" x14ac:dyDescent="0.25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2.75" customHeight="1" spans="1:26" x14ac:dyDescent="0.25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2.75" customHeight="1" spans="1:26" x14ac:dyDescent="0.25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2.75" customHeight="1" spans="1:26" x14ac:dyDescent="0.2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2.75" customHeight="1" spans="1:26" x14ac:dyDescent="0.25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2.75" customHeight="1" spans="1:26" x14ac:dyDescent="0.25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2.75" customHeight="1" spans="1:26" x14ac:dyDescent="0.25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2.75" customHeight="1" spans="1:26" x14ac:dyDescent="0.25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2.75" customHeight="1" spans="1:26" x14ac:dyDescent="0.25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2.75" customHeight="1" spans="1:26" x14ac:dyDescent="0.25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2.75" customHeight="1" spans="1:26" x14ac:dyDescent="0.25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2.75" customHeight="1" spans="1:26" x14ac:dyDescent="0.25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2.75" customHeight="1" spans="1:26" x14ac:dyDescent="0.25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2.75" customHeight="1" spans="1:26" x14ac:dyDescent="0.25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2.75" customHeight="1" spans="1:26" x14ac:dyDescent="0.25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2.75" customHeight="1" spans="1:26" x14ac:dyDescent="0.25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2.75" customHeight="1" spans="1:26" x14ac:dyDescent="0.25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2.75" customHeight="1" spans="1:26" x14ac:dyDescent="0.25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2.75" customHeight="1" spans="1:26" x14ac:dyDescent="0.25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2.75" customHeight="1" spans="1:26" x14ac:dyDescent="0.25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2.75" customHeight="1" spans="1:26" x14ac:dyDescent="0.25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2.75" customHeight="1" spans="1:26" x14ac:dyDescent="0.25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2.75" customHeight="1" spans="1:26" x14ac:dyDescent="0.25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2.75" customHeight="1" spans="1:26" x14ac:dyDescent="0.25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2.75" customHeight="1" spans="1:26" x14ac:dyDescent="0.25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2.75" customHeight="1" spans="1:26" x14ac:dyDescent="0.25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2.75" customHeight="1" spans="1:26" x14ac:dyDescent="0.25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2.75" customHeight="1" spans="1:26" x14ac:dyDescent="0.25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2.75" customHeight="1" spans="1:26" x14ac:dyDescent="0.25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2.75" customHeight="1" spans="1:26" x14ac:dyDescent="0.25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2.75" customHeight="1" spans="1:26" x14ac:dyDescent="0.25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2.75" customHeight="1" spans="1:26" x14ac:dyDescent="0.25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2.75" customHeight="1" spans="1:26" x14ac:dyDescent="0.25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2.75" customHeight="1" spans="1:26" x14ac:dyDescent="0.2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2.75" customHeight="1" spans="1:26" x14ac:dyDescent="0.25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2.75" customHeight="1" spans="1:26" x14ac:dyDescent="0.25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2.75" customHeight="1" spans="1:26" x14ac:dyDescent="0.25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2.75" customHeight="1" spans="1:26" x14ac:dyDescent="0.25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2.75" customHeight="1" spans="1:26" x14ac:dyDescent="0.25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2.75" customHeight="1" spans="1:26" x14ac:dyDescent="0.25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2.75" customHeight="1" spans="1:26" x14ac:dyDescent="0.25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2.75" customHeight="1" spans="1:26" x14ac:dyDescent="0.25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2.75" customHeight="1" spans="1:26" x14ac:dyDescent="0.25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2.75" customHeight="1" spans="1:26" x14ac:dyDescent="0.2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2.75" customHeight="1" spans="1:26" x14ac:dyDescent="0.25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2.75" customHeight="1" spans="1:26" x14ac:dyDescent="0.25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2.75" customHeight="1" spans="1:26" x14ac:dyDescent="0.25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2.75" customHeight="1" spans="1:26" x14ac:dyDescent="0.25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2.75" customHeight="1" spans="1:26" x14ac:dyDescent="0.25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2.75" customHeight="1" spans="1:26" x14ac:dyDescent="0.25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2.75" customHeight="1" spans="1:26" x14ac:dyDescent="0.25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2.75" customHeight="1" spans="1:26" x14ac:dyDescent="0.25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2.75" customHeight="1" spans="1:26" x14ac:dyDescent="0.25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2.75" customHeight="1" spans="1:26" x14ac:dyDescent="0.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2.75" customHeight="1" spans="1:26" x14ac:dyDescent="0.25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2.75" customHeight="1" spans="1:26" x14ac:dyDescent="0.25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2.75" customHeight="1" spans="1:26" x14ac:dyDescent="0.25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2.75" customHeight="1" spans="1:26" x14ac:dyDescent="0.25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2.75" customHeight="1" spans="1:26" x14ac:dyDescent="0.25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2.75" customHeight="1" spans="1:26" x14ac:dyDescent="0.25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2.75" customHeight="1" spans="1:26" x14ac:dyDescent="0.25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2.75" customHeight="1" spans="1:26" x14ac:dyDescent="0.25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2.75" customHeight="1" spans="1:26" x14ac:dyDescent="0.25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2.75" customHeight="1" spans="1:26" x14ac:dyDescent="0.2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2.75" customHeight="1" spans="1:26" x14ac:dyDescent="0.25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2.75" customHeight="1" spans="1:26" x14ac:dyDescent="0.25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2.75" customHeight="1" spans="1:26" x14ac:dyDescent="0.25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2.75" customHeight="1" spans="1:26" x14ac:dyDescent="0.25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2.75" customHeight="1" spans="1:26" x14ac:dyDescent="0.25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2.75" customHeight="1" spans="1:26" x14ac:dyDescent="0.25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2.75" customHeight="1" spans="1:26" x14ac:dyDescent="0.25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2.75" customHeight="1" spans="1:26" x14ac:dyDescent="0.25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2.75" customHeight="1" spans="1:26" x14ac:dyDescent="0.25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2.75" customHeight="1" spans="1:26" x14ac:dyDescent="0.2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2.75" customHeight="1" spans="1:26" x14ac:dyDescent="0.25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2.75" customHeight="1" spans="1:26" x14ac:dyDescent="0.25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2.75" customHeight="1" spans="1:26" x14ac:dyDescent="0.25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2.75" customHeight="1" spans="1:26" x14ac:dyDescent="0.25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2.75" customHeight="1" spans="1:26" x14ac:dyDescent="0.25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2.75" customHeight="1" spans="1:26" x14ac:dyDescent="0.25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2.75" customHeight="1" spans="1:26" x14ac:dyDescent="0.25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2.75" customHeight="1" spans="1:26" x14ac:dyDescent="0.25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2.75" customHeight="1" spans="1:26" x14ac:dyDescent="0.25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2.75" customHeight="1" spans="1:26" x14ac:dyDescent="0.25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2.75" customHeight="1" spans="1:26" x14ac:dyDescent="0.25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2.75" customHeight="1" spans="1:26" x14ac:dyDescent="0.25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2.75" customHeight="1" spans="1:26" x14ac:dyDescent="0.25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2.75" customHeight="1" spans="1:26" x14ac:dyDescent="0.25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2.75" customHeight="1" spans="1:26" x14ac:dyDescent="0.25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2.75" customHeight="1" spans="1:26" x14ac:dyDescent="0.25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2.75" customHeight="1" spans="1:26" x14ac:dyDescent="0.25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2.75" customHeight="1" spans="1:26" x14ac:dyDescent="0.25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2.75" customHeight="1" spans="1:26" x14ac:dyDescent="0.25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2.75" customHeight="1" spans="1:26" x14ac:dyDescent="0.25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2.75" customHeight="1" spans="1:26" x14ac:dyDescent="0.25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2.75" customHeight="1" spans="1:26" x14ac:dyDescent="0.25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2.75" customHeight="1" spans="1:26" x14ac:dyDescent="0.25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2.75" customHeight="1" spans="1:26" x14ac:dyDescent="0.25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2.75" customHeight="1" spans="1:26" x14ac:dyDescent="0.25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2.75" customHeight="1" spans="1:26" x14ac:dyDescent="0.25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2.75" customHeight="1" spans="1:26" x14ac:dyDescent="0.25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2.75" customHeight="1" spans="1:26" x14ac:dyDescent="0.25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2.75" customHeight="1" spans="1:26" x14ac:dyDescent="0.25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2.75" customHeight="1" spans="1:26" x14ac:dyDescent="0.25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2.75" customHeight="1" spans="1:26" x14ac:dyDescent="0.25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2.75" customHeight="1" spans="1:26" x14ac:dyDescent="0.25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2.75" customHeight="1" spans="1:26" x14ac:dyDescent="0.25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2.75" customHeight="1" spans="1:26" x14ac:dyDescent="0.25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2.75" customHeight="1" spans="1:26" x14ac:dyDescent="0.25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2.75" customHeight="1" spans="1:26" x14ac:dyDescent="0.25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2.75" customHeight="1" spans="1:26" x14ac:dyDescent="0.25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2.75" customHeight="1" spans="1:26" x14ac:dyDescent="0.25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2.75" customHeight="1" spans="1:26" x14ac:dyDescent="0.25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2.75" customHeight="1" spans="1:26" x14ac:dyDescent="0.25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2.75" customHeight="1" spans="1:26" x14ac:dyDescent="0.25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2.75" customHeight="1" spans="1:26" x14ac:dyDescent="0.25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2.75" customHeight="1" spans="1:26" x14ac:dyDescent="0.25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2.75" customHeight="1" spans="1:26" x14ac:dyDescent="0.25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2.75" customHeight="1" spans="1:26" x14ac:dyDescent="0.25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2.75" customHeight="1" spans="1:26" x14ac:dyDescent="0.25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2.75" customHeight="1" spans="1:26" x14ac:dyDescent="0.25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2.75" customHeight="1" spans="1:26" x14ac:dyDescent="0.25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2.75" customHeight="1" spans="1:26" x14ac:dyDescent="0.25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2.75" customHeight="1" spans="1:26" x14ac:dyDescent="0.25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2.75" customHeight="1" spans="1:26" x14ac:dyDescent="0.25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2.75" customHeight="1" spans="1:26" x14ac:dyDescent="0.25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2.75" customHeight="1" spans="1:26" x14ac:dyDescent="0.25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2.75" customHeight="1" spans="1:26" x14ac:dyDescent="0.25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2.75" customHeight="1" spans="1:26" x14ac:dyDescent="0.25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7">
    <mergeCell ref="A1:S1"/>
    <mergeCell ref="C2:D2"/>
    <mergeCell ref="G2:K2"/>
    <mergeCell ref="M2:S2"/>
    <mergeCell ref="C3:D3"/>
    <mergeCell ref="J3:N3"/>
    <mergeCell ref="A4:S55"/>
  </mergeCells>
  <printOptions horizontalCentered="1"/>
  <pageMargins left="0" right="0" top="0.25" bottom="0" header="0" footer="0"/>
  <pageSetup paperSize="9" orientation="landscape" horizontalDpi="4294967295" verticalDpi="4294967295" scale="52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66"/>
  </sheetPr>
  <dimension ref="A1:X1000"/>
  <sheetViews>
    <sheetView workbookViewId="0" zoomScale="100" zoomScaleNormal="100"/>
  </sheetViews>
  <sheetFormatPr defaultRowHeight="15" outlineLevelRow="0" outlineLevelCol="0" x14ac:dyDescent="0" defaultColWidth="12.63"/>
  <cols>
    <col min="1" max="24" width="7.25" customWidth="1"/>
    <col min="25" max="26" width="8.75" customWidth="1"/>
  </cols>
  <sheetData>
    <row r="1" ht="47.25" customHeight="1" spans="1:24" x14ac:dyDescent="0.25">
      <c r="A1" s="196" t="s">
        <v>181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</row>
    <row r="2" ht="23.25" customHeight="1" spans="1:24" x14ac:dyDescent="0.25">
      <c r="A2" s="197" t="str">
        <f t="shared" ref="A2:A3" si="0">#REF!</f>
        <v>#REF!</v>
      </c>
      <c r="B2" s="62"/>
      <c r="C2" s="62"/>
      <c r="D2" s="62"/>
      <c r="E2" s="62"/>
      <c r="F2" s="63"/>
      <c r="G2" s="198" t="str">
        <f t="shared" ref="G2:G3" si="1">#REF!</f>
        <v>#REF!</v>
      </c>
      <c r="H2" s="62"/>
      <c r="I2" s="62"/>
      <c r="J2" s="62"/>
      <c r="K2" s="62"/>
      <c r="L2" s="62"/>
      <c r="M2" s="63"/>
      <c r="N2" s="198" t="str">
        <f>#REF!</f>
        <v>#REF!</v>
      </c>
      <c r="O2" s="62"/>
      <c r="P2" s="62"/>
      <c r="Q2" s="62"/>
      <c r="R2" s="62"/>
      <c r="S2" s="62"/>
      <c r="T2" s="62"/>
      <c r="U2" s="62"/>
      <c r="V2" s="62"/>
      <c r="W2" s="62"/>
      <c r="X2" s="150"/>
    </row>
    <row r="3" ht="23.25" customHeight="1" spans="1:24" x14ac:dyDescent="0.25">
      <c r="A3" s="199" t="str">
        <f t="shared" si="0"/>
        <v>#REF!</v>
      </c>
      <c r="B3" s="137"/>
      <c r="C3" s="137"/>
      <c r="D3" s="137"/>
      <c r="E3" s="137"/>
      <c r="F3" s="40"/>
      <c r="G3" s="200" t="str">
        <f t="shared" si="1"/>
        <v>#REF!</v>
      </c>
      <c r="H3" s="137"/>
      <c r="I3" s="137"/>
      <c r="J3" s="40"/>
      <c r="K3" s="201" t="str">
        <f>#REF!</f>
        <v>#REF!</v>
      </c>
      <c r="L3" s="202"/>
      <c r="M3" s="202"/>
      <c r="N3" s="203">
        <f>'Measurement sheet'!#REF!</f>
        <v>NaN</v>
      </c>
      <c r="O3" s="200" t="str">
        <f>'Measurement sheet'!#REF!</f>
        <v>#ERROR!</v>
      </c>
      <c r="P3" s="137"/>
      <c r="Q3" s="137"/>
      <c r="R3" s="137"/>
      <c r="S3" s="137"/>
      <c r="T3" s="137"/>
      <c r="U3" s="137"/>
      <c r="V3" s="137"/>
      <c r="W3" s="204" t="s">
        <v>182</v>
      </c>
      <c r="X3" s="205">
        <f>'Measurement sheet'!#REF!</f>
        <v>NaN</v>
      </c>
    </row>
    <row r="4" ht="12" customHeight="1" spans="1:24" x14ac:dyDescent="0.25">
      <c r="A4" s="206"/>
      <c r="B4"/>
      <c r="C4"/>
      <c r="D4"/>
      <c r="E4"/>
      <c r="F4"/>
      <c r="G4" s="206"/>
      <c r="H4"/>
      <c r="I4"/>
      <c r="J4"/>
      <c r="K4"/>
      <c r="L4" s="193"/>
      <c r="M4" s="207"/>
      <c r="N4"/>
      <c r="O4"/>
      <c r="P4"/>
      <c r="Q4"/>
      <c r="R4"/>
      <c r="S4" s="206"/>
      <c r="T4"/>
      <c r="U4"/>
      <c r="V4"/>
      <c r="W4"/>
      <c r="X4" s="193"/>
    </row>
    <row r="5" ht="12" customHeight="1" spans="1:24" x14ac:dyDescent="0.25">
      <c r="A5" s="192"/>
      <c r="B5"/>
      <c r="C5"/>
      <c r="D5"/>
      <c r="E5"/>
      <c r="F5"/>
      <c r="G5" s="192"/>
      <c r="H5"/>
      <c r="I5"/>
      <c r="J5"/>
      <c r="K5"/>
      <c r="L5" s="193"/>
      <c r="M5"/>
      <c r="N5"/>
      <c r="O5"/>
      <c r="P5"/>
      <c r="Q5"/>
      <c r="R5"/>
      <c r="S5" s="192"/>
      <c r="T5"/>
      <c r="U5"/>
      <c r="V5"/>
      <c r="W5"/>
      <c r="X5" s="193"/>
    </row>
    <row r="6" ht="12" customHeight="1" spans="1:24" x14ac:dyDescent="0.25">
      <c r="A6" s="192"/>
      <c r="B6"/>
      <c r="C6"/>
      <c r="D6"/>
      <c r="E6"/>
      <c r="F6"/>
      <c r="G6" s="192"/>
      <c r="H6"/>
      <c r="I6"/>
      <c r="J6"/>
      <c r="K6"/>
      <c r="L6" s="193"/>
      <c r="M6"/>
      <c r="N6"/>
      <c r="O6"/>
      <c r="P6"/>
      <c r="Q6"/>
      <c r="R6"/>
      <c r="S6" s="192"/>
      <c r="T6"/>
      <c r="U6"/>
      <c r="V6"/>
      <c r="W6"/>
      <c r="X6" s="193"/>
    </row>
    <row r="7" ht="12" customHeight="1" spans="1:24" x14ac:dyDescent="0.25">
      <c r="A7" s="192"/>
      <c r="B7"/>
      <c r="C7"/>
      <c r="D7"/>
      <c r="E7"/>
      <c r="F7"/>
      <c r="G7" s="192"/>
      <c r="H7"/>
      <c r="I7"/>
      <c r="J7"/>
      <c r="K7"/>
      <c r="L7" s="193"/>
      <c r="M7"/>
      <c r="N7"/>
      <c r="O7"/>
      <c r="P7"/>
      <c r="Q7"/>
      <c r="R7"/>
      <c r="S7" s="192"/>
      <c r="T7"/>
      <c r="U7"/>
      <c r="V7"/>
      <c r="W7"/>
      <c r="X7" s="193"/>
    </row>
    <row r="8" ht="12" customHeight="1" spans="1:24" x14ac:dyDescent="0.25">
      <c r="A8" s="192"/>
      <c r="B8"/>
      <c r="C8"/>
      <c r="D8"/>
      <c r="E8"/>
      <c r="F8"/>
      <c r="G8" s="192"/>
      <c r="H8"/>
      <c r="I8"/>
      <c r="J8"/>
      <c r="K8"/>
      <c r="L8" s="193"/>
      <c r="M8"/>
      <c r="N8"/>
      <c r="O8"/>
      <c r="P8"/>
      <c r="Q8"/>
      <c r="R8"/>
      <c r="S8" s="192"/>
      <c r="T8"/>
      <c r="U8"/>
      <c r="V8"/>
      <c r="W8"/>
      <c r="X8" s="193"/>
    </row>
    <row r="9" ht="12" customHeight="1" spans="1:24" x14ac:dyDescent="0.25">
      <c r="A9" s="192"/>
      <c r="B9"/>
      <c r="C9"/>
      <c r="D9"/>
      <c r="E9"/>
      <c r="F9"/>
      <c r="G9" s="192"/>
      <c r="H9"/>
      <c r="I9"/>
      <c r="J9"/>
      <c r="K9"/>
      <c r="L9" s="193"/>
      <c r="M9"/>
      <c r="N9"/>
      <c r="O9"/>
      <c r="P9"/>
      <c r="Q9"/>
      <c r="R9"/>
      <c r="S9" s="192"/>
      <c r="T9"/>
      <c r="U9"/>
      <c r="V9"/>
      <c r="W9"/>
      <c r="X9" s="193"/>
    </row>
    <row r="10" ht="12" customHeight="1" spans="1:24" x14ac:dyDescent="0.25">
      <c r="A10" s="192"/>
      <c r="B10"/>
      <c r="C10"/>
      <c r="D10"/>
      <c r="E10"/>
      <c r="F10"/>
      <c r="G10" s="192"/>
      <c r="H10"/>
      <c r="I10"/>
      <c r="J10"/>
      <c r="K10"/>
      <c r="L10" s="193"/>
      <c r="M10"/>
      <c r="N10"/>
      <c r="O10"/>
      <c r="P10"/>
      <c r="Q10"/>
      <c r="R10"/>
      <c r="S10" s="192"/>
      <c r="T10"/>
      <c r="U10"/>
      <c r="V10"/>
      <c r="W10"/>
      <c r="X10" s="193"/>
    </row>
    <row r="11" ht="12" customHeight="1" spans="1:24" x14ac:dyDescent="0.25">
      <c r="A11" s="192"/>
      <c r="B11"/>
      <c r="C11"/>
      <c r="D11"/>
      <c r="E11"/>
      <c r="F11"/>
      <c r="G11" s="192"/>
      <c r="H11"/>
      <c r="I11"/>
      <c r="J11"/>
      <c r="K11"/>
      <c r="L11" s="193"/>
      <c r="M11"/>
      <c r="N11"/>
      <c r="O11"/>
      <c r="P11"/>
      <c r="Q11"/>
      <c r="R11"/>
      <c r="S11" s="192"/>
      <c r="T11"/>
      <c r="U11"/>
      <c r="V11"/>
      <c r="W11"/>
      <c r="X11" s="193"/>
    </row>
    <row r="12" ht="12" customHeight="1" spans="1:24" x14ac:dyDescent="0.25">
      <c r="A12" s="192"/>
      <c r="B12"/>
      <c r="C12"/>
      <c r="D12"/>
      <c r="E12"/>
      <c r="F12"/>
      <c r="G12" s="192"/>
      <c r="H12"/>
      <c r="I12"/>
      <c r="J12"/>
      <c r="K12"/>
      <c r="L12" s="193"/>
      <c r="M12"/>
      <c r="N12"/>
      <c r="O12"/>
      <c r="P12"/>
      <c r="Q12"/>
      <c r="R12"/>
      <c r="S12" s="192"/>
      <c r="T12"/>
      <c r="U12"/>
      <c r="V12"/>
      <c r="W12"/>
      <c r="X12" s="193"/>
    </row>
    <row r="13" ht="12" customHeight="1" spans="1:24" x14ac:dyDescent="0.25">
      <c r="A13" s="192"/>
      <c r="B13"/>
      <c r="C13"/>
      <c r="D13"/>
      <c r="E13"/>
      <c r="F13"/>
      <c r="G13" s="192"/>
      <c r="H13"/>
      <c r="I13"/>
      <c r="J13"/>
      <c r="K13"/>
      <c r="L13" s="193"/>
      <c r="M13"/>
      <c r="N13"/>
      <c r="O13"/>
      <c r="P13"/>
      <c r="Q13"/>
      <c r="R13"/>
      <c r="S13" s="192"/>
      <c r="T13"/>
      <c r="U13"/>
      <c r="V13"/>
      <c r="W13"/>
      <c r="X13" s="193"/>
    </row>
    <row r="14" ht="12" customHeight="1" spans="1:24" x14ac:dyDescent="0.25">
      <c r="A14" s="192"/>
      <c r="B14"/>
      <c r="C14"/>
      <c r="D14"/>
      <c r="E14"/>
      <c r="F14"/>
      <c r="G14" s="192"/>
      <c r="H14"/>
      <c r="I14"/>
      <c r="J14"/>
      <c r="K14"/>
      <c r="L14" s="193"/>
      <c r="M14"/>
      <c r="N14"/>
      <c r="O14"/>
      <c r="P14"/>
      <c r="Q14"/>
      <c r="R14"/>
      <c r="S14" s="192"/>
      <c r="T14"/>
      <c r="U14"/>
      <c r="V14"/>
      <c r="W14"/>
      <c r="X14" s="193"/>
    </row>
    <row r="15" ht="12" customHeight="1" spans="1:24" x14ac:dyDescent="0.25">
      <c r="A15" s="192"/>
      <c r="B15"/>
      <c r="C15"/>
      <c r="D15"/>
      <c r="E15"/>
      <c r="F15"/>
      <c r="G15" s="192"/>
      <c r="H15"/>
      <c r="I15"/>
      <c r="J15"/>
      <c r="K15"/>
      <c r="L15" s="193"/>
      <c r="M15"/>
      <c r="N15"/>
      <c r="O15"/>
      <c r="P15"/>
      <c r="Q15"/>
      <c r="R15"/>
      <c r="S15" s="192"/>
      <c r="T15"/>
      <c r="U15"/>
      <c r="V15"/>
      <c r="W15"/>
      <c r="X15" s="193"/>
    </row>
    <row r="16" ht="12" customHeight="1" spans="1:24" x14ac:dyDescent="0.25">
      <c r="A16" s="192"/>
      <c r="B16"/>
      <c r="C16"/>
      <c r="D16"/>
      <c r="E16"/>
      <c r="F16"/>
      <c r="G16" s="194"/>
      <c r="H16" s="173"/>
      <c r="I16" s="173"/>
      <c r="J16" s="173"/>
      <c r="K16" s="173"/>
      <c r="L16" s="195"/>
      <c r="M16"/>
      <c r="N16"/>
      <c r="O16"/>
      <c r="P16"/>
      <c r="Q16"/>
      <c r="R16"/>
      <c r="S16" s="194"/>
      <c r="T16" s="173"/>
      <c r="U16" s="173"/>
      <c r="V16" s="173"/>
      <c r="W16" s="173"/>
      <c r="X16" s="195"/>
    </row>
    <row r="17" ht="19.5" customHeight="1" spans="1:24" x14ac:dyDescent="0.25">
      <c r="A17" s="208" t="s">
        <v>183</v>
      </c>
      <c r="B17" s="50"/>
      <c r="C17" s="50"/>
      <c r="D17" s="50"/>
      <c r="E17" s="50"/>
      <c r="F17" s="51"/>
      <c r="G17" s="208" t="s">
        <v>184</v>
      </c>
      <c r="H17" s="50"/>
      <c r="I17" s="50"/>
      <c r="J17" s="50"/>
      <c r="K17" s="50"/>
      <c r="L17" s="51"/>
      <c r="M17" s="208" t="s">
        <v>185</v>
      </c>
      <c r="N17" s="50"/>
      <c r="O17" s="50"/>
      <c r="P17" s="50"/>
      <c r="Q17" s="50"/>
      <c r="R17" s="51"/>
      <c r="S17" s="208" t="s">
        <v>186</v>
      </c>
      <c r="T17" s="50"/>
      <c r="U17" s="50"/>
      <c r="V17" s="50"/>
      <c r="W17" s="50"/>
      <c r="X17" s="51"/>
    </row>
    <row r="18" ht="12" customHeight="1" spans="1:24" x14ac:dyDescent="0.25">
      <c r="A18" s="209"/>
      <c r="B18" s="190"/>
      <c r="C18" s="190"/>
      <c r="D18" s="190"/>
      <c r="E18" s="190"/>
      <c r="F18" s="190"/>
      <c r="G18" s="209"/>
      <c r="H18" s="190"/>
      <c r="I18" s="190"/>
      <c r="J18" s="190"/>
      <c r="K18" s="190"/>
      <c r="L18" s="191"/>
      <c r="M18" s="210"/>
      <c r="N18" s="190"/>
      <c r="O18" s="190"/>
      <c r="P18" s="190"/>
      <c r="Q18" s="190"/>
      <c r="R18" s="190"/>
      <c r="S18" s="209"/>
      <c r="T18" s="190"/>
      <c r="U18" s="190"/>
      <c r="V18" s="190"/>
      <c r="W18" s="190"/>
      <c r="X18" s="191"/>
    </row>
    <row r="19" ht="12" customHeight="1" spans="1:24" x14ac:dyDescent="0.25">
      <c r="A19" s="192"/>
      <c r="B19"/>
      <c r="C19"/>
      <c r="D19"/>
      <c r="E19"/>
      <c r="F19"/>
      <c r="G19" s="192"/>
      <c r="H19"/>
      <c r="I19"/>
      <c r="J19"/>
      <c r="K19"/>
      <c r="L19" s="193"/>
      <c r="M19"/>
      <c r="N19"/>
      <c r="O19"/>
      <c r="P19"/>
      <c r="Q19"/>
      <c r="R19"/>
      <c r="S19" s="192"/>
      <c r="T19"/>
      <c r="U19"/>
      <c r="V19"/>
      <c r="W19"/>
      <c r="X19" s="193"/>
    </row>
    <row r="20" ht="12" customHeight="1" spans="1:24" x14ac:dyDescent="0.25">
      <c r="A20" s="192"/>
      <c r="B20"/>
      <c r="C20"/>
      <c r="D20"/>
      <c r="E20"/>
      <c r="F20"/>
      <c r="G20" s="192"/>
      <c r="H20"/>
      <c r="I20"/>
      <c r="J20"/>
      <c r="K20"/>
      <c r="L20" s="193"/>
      <c r="M20"/>
      <c r="N20"/>
      <c r="O20"/>
      <c r="P20"/>
      <c r="Q20"/>
      <c r="R20"/>
      <c r="S20" s="192"/>
      <c r="T20"/>
      <c r="U20"/>
      <c r="V20"/>
      <c r="W20"/>
      <c r="X20" s="193"/>
    </row>
    <row r="21" ht="12" customHeight="1" spans="1:24" x14ac:dyDescent="0.25">
      <c r="A21" s="192"/>
      <c r="B21"/>
      <c r="C21"/>
      <c r="D21"/>
      <c r="E21"/>
      <c r="F21"/>
      <c r="G21" s="192"/>
      <c r="H21"/>
      <c r="I21"/>
      <c r="J21"/>
      <c r="K21"/>
      <c r="L21" s="193"/>
      <c r="M21"/>
      <c r="N21"/>
      <c r="O21"/>
      <c r="P21"/>
      <c r="Q21"/>
      <c r="R21"/>
      <c r="S21" s="192"/>
      <c r="T21"/>
      <c r="U21"/>
      <c r="V21"/>
      <c r="W21"/>
      <c r="X21" s="193"/>
    </row>
    <row r="22" ht="12" customHeight="1" spans="1:24" x14ac:dyDescent="0.25">
      <c r="A22" s="192"/>
      <c r="B22"/>
      <c r="C22"/>
      <c r="D22"/>
      <c r="E22"/>
      <c r="F22"/>
      <c r="G22" s="192"/>
      <c r="H22"/>
      <c r="I22"/>
      <c r="J22"/>
      <c r="K22"/>
      <c r="L22" s="193"/>
      <c r="M22"/>
      <c r="N22"/>
      <c r="O22"/>
      <c r="P22"/>
      <c r="Q22"/>
      <c r="R22"/>
      <c r="S22" s="192"/>
      <c r="T22"/>
      <c r="U22"/>
      <c r="V22"/>
      <c r="W22"/>
      <c r="X22" s="193"/>
    </row>
    <row r="23" ht="12" customHeight="1" spans="1:24" x14ac:dyDescent="0.25">
      <c r="A23" s="192"/>
      <c r="B23"/>
      <c r="C23"/>
      <c r="D23"/>
      <c r="E23"/>
      <c r="F23"/>
      <c r="G23" s="192"/>
      <c r="H23"/>
      <c r="I23"/>
      <c r="J23"/>
      <c r="K23"/>
      <c r="L23" s="193"/>
      <c r="M23"/>
      <c r="N23"/>
      <c r="O23"/>
      <c r="P23"/>
      <c r="Q23"/>
      <c r="R23"/>
      <c r="S23" s="192"/>
      <c r="T23"/>
      <c r="U23"/>
      <c r="V23"/>
      <c r="W23"/>
      <c r="X23" s="193"/>
    </row>
    <row r="24" ht="12" customHeight="1" spans="1:24" x14ac:dyDescent="0.25">
      <c r="A24" s="192"/>
      <c r="B24"/>
      <c r="C24"/>
      <c r="D24"/>
      <c r="E24"/>
      <c r="F24"/>
      <c r="G24" s="192"/>
      <c r="H24"/>
      <c r="I24"/>
      <c r="J24"/>
      <c r="K24"/>
      <c r="L24" s="193"/>
      <c r="M24"/>
      <c r="N24"/>
      <c r="O24"/>
      <c r="P24"/>
      <c r="Q24"/>
      <c r="R24"/>
      <c r="S24" s="192"/>
      <c r="T24"/>
      <c r="U24"/>
      <c r="V24"/>
      <c r="W24"/>
      <c r="X24" s="193"/>
    </row>
    <row r="25" ht="12" customHeight="1" spans="1:24" x14ac:dyDescent="0.25">
      <c r="A25" s="192"/>
      <c r="B25"/>
      <c r="C25"/>
      <c r="D25"/>
      <c r="E25"/>
      <c r="F25"/>
      <c r="G25" s="192"/>
      <c r="H25"/>
      <c r="I25"/>
      <c r="J25"/>
      <c r="K25"/>
      <c r="L25" s="193"/>
      <c r="M25"/>
      <c r="N25"/>
      <c r="O25"/>
      <c r="P25"/>
      <c r="Q25"/>
      <c r="R25"/>
      <c r="S25" s="192"/>
      <c r="T25"/>
      <c r="U25"/>
      <c r="V25"/>
      <c r="W25"/>
      <c r="X25" s="193"/>
    </row>
    <row r="26" ht="12" customHeight="1" spans="1:24" x14ac:dyDescent="0.25">
      <c r="A26" s="192"/>
      <c r="B26"/>
      <c r="C26"/>
      <c r="D26"/>
      <c r="E26"/>
      <c r="F26"/>
      <c r="G26" s="192"/>
      <c r="H26"/>
      <c r="I26"/>
      <c r="J26"/>
      <c r="K26"/>
      <c r="L26" s="193"/>
      <c r="M26"/>
      <c r="N26"/>
      <c r="O26"/>
      <c r="P26"/>
      <c r="Q26"/>
      <c r="R26"/>
      <c r="S26" s="192"/>
      <c r="T26"/>
      <c r="U26"/>
      <c r="V26"/>
      <c r="W26"/>
      <c r="X26" s="193"/>
    </row>
    <row r="27" ht="12" customHeight="1" spans="1:24" x14ac:dyDescent="0.25">
      <c r="A27" s="192"/>
      <c r="B27"/>
      <c r="C27"/>
      <c r="D27"/>
      <c r="E27"/>
      <c r="F27"/>
      <c r="G27" s="192"/>
      <c r="H27"/>
      <c r="I27"/>
      <c r="J27"/>
      <c r="K27"/>
      <c r="L27" s="193"/>
      <c r="M27"/>
      <c r="N27"/>
      <c r="O27"/>
      <c r="P27"/>
      <c r="Q27"/>
      <c r="R27"/>
      <c r="S27" s="192"/>
      <c r="T27"/>
      <c r="U27"/>
      <c r="V27"/>
      <c r="W27"/>
      <c r="X27" s="193"/>
    </row>
    <row r="28" ht="12" customHeight="1" spans="1:24" x14ac:dyDescent="0.25">
      <c r="A28" s="192"/>
      <c r="B28"/>
      <c r="C28"/>
      <c r="D28"/>
      <c r="E28"/>
      <c r="F28"/>
      <c r="G28" s="192"/>
      <c r="H28"/>
      <c r="I28"/>
      <c r="J28"/>
      <c r="K28"/>
      <c r="L28" s="193"/>
      <c r="M28"/>
      <c r="N28"/>
      <c r="O28"/>
      <c r="P28"/>
      <c r="Q28"/>
      <c r="R28"/>
      <c r="S28" s="192"/>
      <c r="T28"/>
      <c r="U28"/>
      <c r="V28"/>
      <c r="W28"/>
      <c r="X28" s="193"/>
    </row>
    <row r="29" ht="12" customHeight="1" spans="1:24" x14ac:dyDescent="0.25">
      <c r="A29" s="192"/>
      <c r="B29"/>
      <c r="C29"/>
      <c r="D29"/>
      <c r="E29"/>
      <c r="F29"/>
      <c r="G29" s="192"/>
      <c r="H29"/>
      <c r="I29"/>
      <c r="J29"/>
      <c r="K29"/>
      <c r="L29" s="193"/>
      <c r="M29"/>
      <c r="N29"/>
      <c r="O29"/>
      <c r="P29"/>
      <c r="Q29"/>
      <c r="R29"/>
      <c r="S29" s="192"/>
      <c r="T29"/>
      <c r="U29"/>
      <c r="V29"/>
      <c r="W29"/>
      <c r="X29" s="193"/>
    </row>
    <row r="30" ht="12" customHeight="1" spans="1:24" x14ac:dyDescent="0.25">
      <c r="A30" s="192"/>
      <c r="B30"/>
      <c r="C30"/>
      <c r="D30"/>
      <c r="E30"/>
      <c r="F30"/>
      <c r="G30" s="194"/>
      <c r="H30" s="173"/>
      <c r="I30" s="173"/>
      <c r="J30" s="173"/>
      <c r="K30" s="173"/>
      <c r="L30" s="195"/>
      <c r="M30"/>
      <c r="N30"/>
      <c r="O30"/>
      <c r="P30"/>
      <c r="Q30"/>
      <c r="R30"/>
      <c r="S30" s="194"/>
      <c r="T30" s="173"/>
      <c r="U30" s="173"/>
      <c r="V30" s="173"/>
      <c r="W30" s="173"/>
      <c r="X30" s="195"/>
    </row>
    <row r="31" ht="19.5" customHeight="1" spans="1:24" x14ac:dyDescent="0.25">
      <c r="A31" s="208" t="s">
        <v>187</v>
      </c>
      <c r="B31" s="50"/>
      <c r="C31" s="50"/>
      <c r="D31" s="50"/>
      <c r="E31" s="50"/>
      <c r="F31" s="51"/>
      <c r="G31" s="208" t="s">
        <v>188</v>
      </c>
      <c r="H31" s="50"/>
      <c r="I31" s="50"/>
      <c r="J31" s="50"/>
      <c r="K31" s="50"/>
      <c r="L31" s="51"/>
      <c r="M31" s="208" t="s">
        <v>189</v>
      </c>
      <c r="N31" s="50"/>
      <c r="O31" s="50"/>
      <c r="P31" s="50"/>
      <c r="Q31" s="50"/>
      <c r="R31" s="51"/>
      <c r="S31" s="208" t="s">
        <v>190</v>
      </c>
      <c r="T31" s="50"/>
      <c r="U31" s="50"/>
      <c r="V31" s="50"/>
      <c r="W31" s="50"/>
      <c r="X31" s="51"/>
    </row>
    <row r="32" ht="12" customHeight="1" spans="1:24" x14ac:dyDescent="0.25">
      <c r="A32" s="209"/>
      <c r="B32" s="190"/>
      <c r="C32" s="190"/>
      <c r="D32" s="190"/>
      <c r="E32" s="190"/>
      <c r="F32" s="190"/>
      <c r="G32" s="209"/>
      <c r="H32" s="190"/>
      <c r="I32" s="190"/>
      <c r="J32" s="190"/>
      <c r="K32" s="190"/>
      <c r="L32" s="191"/>
      <c r="M32" s="210"/>
      <c r="N32" s="190"/>
      <c r="O32" s="190"/>
      <c r="P32" s="190"/>
      <c r="Q32" s="190"/>
      <c r="R32" s="190"/>
      <c r="S32" s="209"/>
      <c r="T32" s="190"/>
      <c r="U32" s="190"/>
      <c r="V32" s="190"/>
      <c r="W32" s="190"/>
      <c r="X32" s="191"/>
    </row>
    <row r="33" ht="12" customHeight="1" spans="1:24" x14ac:dyDescent="0.25">
      <c r="A33" s="192"/>
      <c r="B33"/>
      <c r="C33"/>
      <c r="D33"/>
      <c r="E33"/>
      <c r="F33"/>
      <c r="G33" s="192"/>
      <c r="H33"/>
      <c r="I33"/>
      <c r="J33"/>
      <c r="K33"/>
      <c r="L33" s="193"/>
      <c r="M33"/>
      <c r="N33"/>
      <c r="O33"/>
      <c r="P33"/>
      <c r="Q33"/>
      <c r="R33"/>
      <c r="S33" s="192"/>
      <c r="T33"/>
      <c r="U33"/>
      <c r="V33"/>
      <c r="W33"/>
      <c r="X33" s="193"/>
    </row>
    <row r="34" ht="12" customHeight="1" spans="1:24" x14ac:dyDescent="0.25">
      <c r="A34" s="192"/>
      <c r="B34"/>
      <c r="C34"/>
      <c r="D34"/>
      <c r="E34"/>
      <c r="F34"/>
      <c r="G34" s="192"/>
      <c r="H34"/>
      <c r="I34"/>
      <c r="J34"/>
      <c r="K34"/>
      <c r="L34" s="193"/>
      <c r="M34"/>
      <c r="N34"/>
      <c r="O34"/>
      <c r="P34"/>
      <c r="Q34"/>
      <c r="R34"/>
      <c r="S34" s="192"/>
      <c r="T34"/>
      <c r="U34"/>
      <c r="V34"/>
      <c r="W34"/>
      <c r="X34" s="193"/>
    </row>
    <row r="35" ht="12" customHeight="1" spans="1:24" x14ac:dyDescent="0.25">
      <c r="A35" s="192"/>
      <c r="B35"/>
      <c r="C35"/>
      <c r="D35"/>
      <c r="E35"/>
      <c r="F35"/>
      <c r="G35" s="192"/>
      <c r="H35"/>
      <c r="I35"/>
      <c r="J35"/>
      <c r="K35"/>
      <c r="L35" s="193"/>
      <c r="M35"/>
      <c r="N35"/>
      <c r="O35"/>
      <c r="P35"/>
      <c r="Q35"/>
      <c r="R35"/>
      <c r="S35" s="192"/>
      <c r="T35"/>
      <c r="U35"/>
      <c r="V35"/>
      <c r="W35"/>
      <c r="X35" s="193"/>
    </row>
    <row r="36" ht="12" customHeight="1" spans="1:24" x14ac:dyDescent="0.25">
      <c r="A36" s="192"/>
      <c r="B36"/>
      <c r="C36"/>
      <c r="D36"/>
      <c r="E36"/>
      <c r="F36"/>
      <c r="G36" s="192"/>
      <c r="H36"/>
      <c r="I36"/>
      <c r="J36"/>
      <c r="K36"/>
      <c r="L36" s="193"/>
      <c r="M36"/>
      <c r="N36"/>
      <c r="O36"/>
      <c r="P36"/>
      <c r="Q36"/>
      <c r="R36"/>
      <c r="S36" s="192"/>
      <c r="T36"/>
      <c r="U36"/>
      <c r="V36"/>
      <c r="W36"/>
      <c r="X36" s="193"/>
    </row>
    <row r="37" ht="12" customHeight="1" spans="1:24" x14ac:dyDescent="0.25">
      <c r="A37" s="192"/>
      <c r="B37"/>
      <c r="C37"/>
      <c r="D37"/>
      <c r="E37"/>
      <c r="F37"/>
      <c r="G37" s="192"/>
      <c r="H37"/>
      <c r="I37"/>
      <c r="J37"/>
      <c r="K37"/>
      <c r="L37" s="193"/>
      <c r="M37"/>
      <c r="N37"/>
      <c r="O37"/>
      <c r="P37"/>
      <c r="Q37"/>
      <c r="R37"/>
      <c r="S37" s="192"/>
      <c r="T37"/>
      <c r="U37"/>
      <c r="V37"/>
      <c r="W37"/>
      <c r="X37" s="193"/>
    </row>
    <row r="38" ht="12" customHeight="1" spans="1:24" x14ac:dyDescent="0.25">
      <c r="A38" s="192"/>
      <c r="B38"/>
      <c r="C38"/>
      <c r="D38"/>
      <c r="E38"/>
      <c r="F38"/>
      <c r="G38" s="192"/>
      <c r="H38"/>
      <c r="I38"/>
      <c r="J38"/>
      <c r="K38"/>
      <c r="L38" s="193"/>
      <c r="M38"/>
      <c r="N38"/>
      <c r="O38"/>
      <c r="P38"/>
      <c r="Q38"/>
      <c r="R38"/>
      <c r="S38" s="192"/>
      <c r="T38"/>
      <c r="U38"/>
      <c r="V38"/>
      <c r="W38"/>
      <c r="X38" s="193"/>
    </row>
    <row r="39" ht="12" customHeight="1" spans="1:24" x14ac:dyDescent="0.25">
      <c r="A39" s="192"/>
      <c r="B39"/>
      <c r="C39"/>
      <c r="D39"/>
      <c r="E39"/>
      <c r="F39"/>
      <c r="G39" s="192"/>
      <c r="H39"/>
      <c r="I39"/>
      <c r="J39"/>
      <c r="K39"/>
      <c r="L39" s="193"/>
      <c r="M39"/>
      <c r="N39"/>
      <c r="O39"/>
      <c r="P39"/>
      <c r="Q39"/>
      <c r="R39"/>
      <c r="S39" s="192"/>
      <c r="T39"/>
      <c r="U39"/>
      <c r="V39"/>
      <c r="W39"/>
      <c r="X39" s="193"/>
    </row>
    <row r="40" ht="12" customHeight="1" spans="1:24" x14ac:dyDescent="0.25">
      <c r="A40" s="192"/>
      <c r="B40"/>
      <c r="C40"/>
      <c r="D40"/>
      <c r="E40"/>
      <c r="F40"/>
      <c r="G40" s="192"/>
      <c r="H40"/>
      <c r="I40"/>
      <c r="J40"/>
      <c r="K40"/>
      <c r="L40" s="193"/>
      <c r="M40"/>
      <c r="N40"/>
      <c r="O40"/>
      <c r="P40"/>
      <c r="Q40"/>
      <c r="R40"/>
      <c r="S40" s="192"/>
      <c r="T40"/>
      <c r="U40"/>
      <c r="V40"/>
      <c r="W40"/>
      <c r="X40" s="193"/>
    </row>
    <row r="41" ht="12" customHeight="1" spans="1:24" x14ac:dyDescent="0.25">
      <c r="A41" s="192"/>
      <c r="B41"/>
      <c r="C41"/>
      <c r="D41"/>
      <c r="E41"/>
      <c r="F41"/>
      <c r="G41" s="192"/>
      <c r="H41"/>
      <c r="I41"/>
      <c r="J41"/>
      <c r="K41"/>
      <c r="L41" s="193"/>
      <c r="M41"/>
      <c r="N41"/>
      <c r="O41"/>
      <c r="P41"/>
      <c r="Q41"/>
      <c r="R41"/>
      <c r="S41" s="192"/>
      <c r="T41"/>
      <c r="U41"/>
      <c r="V41"/>
      <c r="W41"/>
      <c r="X41" s="193"/>
    </row>
    <row r="42" ht="12" customHeight="1" spans="1:24" x14ac:dyDescent="0.25">
      <c r="A42" s="192"/>
      <c r="B42"/>
      <c r="C42"/>
      <c r="D42"/>
      <c r="E42"/>
      <c r="F42"/>
      <c r="G42" s="192"/>
      <c r="H42"/>
      <c r="I42"/>
      <c r="J42"/>
      <c r="K42"/>
      <c r="L42" s="193"/>
      <c r="M42"/>
      <c r="N42"/>
      <c r="O42"/>
      <c r="P42"/>
      <c r="Q42"/>
      <c r="R42"/>
      <c r="S42" s="192"/>
      <c r="T42"/>
      <c r="U42"/>
      <c r="V42"/>
      <c r="W42"/>
      <c r="X42" s="193"/>
    </row>
    <row r="43" ht="12" customHeight="1" spans="1:24" x14ac:dyDescent="0.25">
      <c r="A43" s="192"/>
      <c r="B43"/>
      <c r="C43"/>
      <c r="D43"/>
      <c r="E43"/>
      <c r="F43"/>
      <c r="G43" s="192"/>
      <c r="H43"/>
      <c r="I43"/>
      <c r="J43"/>
      <c r="K43"/>
      <c r="L43" s="193"/>
      <c r="M43"/>
      <c r="N43"/>
      <c r="O43"/>
      <c r="P43"/>
      <c r="Q43"/>
      <c r="R43"/>
      <c r="S43" s="192"/>
      <c r="T43"/>
      <c r="U43"/>
      <c r="V43"/>
      <c r="W43"/>
      <c r="X43" s="193"/>
    </row>
    <row r="44" ht="12" customHeight="1" spans="1:24" x14ac:dyDescent="0.25">
      <c r="A44" s="192"/>
      <c r="B44"/>
      <c r="C44"/>
      <c r="D44"/>
      <c r="E44"/>
      <c r="F44"/>
      <c r="G44" s="194"/>
      <c r="H44" s="173"/>
      <c r="I44" s="173"/>
      <c r="J44" s="173"/>
      <c r="K44" s="173"/>
      <c r="L44" s="195"/>
      <c r="M44"/>
      <c r="N44"/>
      <c r="O44"/>
      <c r="P44"/>
      <c r="Q44"/>
      <c r="R44"/>
      <c r="S44" s="194"/>
      <c r="T44" s="173"/>
      <c r="U44" s="173"/>
      <c r="V44" s="173"/>
      <c r="W44" s="173"/>
      <c r="X44" s="195"/>
    </row>
    <row r="45" ht="19.5" customHeight="1" spans="1:24" x14ac:dyDescent="0.25">
      <c r="A45" s="208" t="s">
        <v>191</v>
      </c>
      <c r="B45" s="50"/>
      <c r="C45" s="50"/>
      <c r="D45" s="50"/>
      <c r="E45" s="50"/>
      <c r="F45" s="51"/>
      <c r="G45" s="208" t="s">
        <v>192</v>
      </c>
      <c r="H45" s="50"/>
      <c r="I45" s="50"/>
      <c r="J45" s="50"/>
      <c r="K45" s="50"/>
      <c r="L45" s="51"/>
      <c r="M45" s="208"/>
      <c r="N45" s="50"/>
      <c r="O45" s="50"/>
      <c r="P45" s="50"/>
      <c r="Q45" s="50"/>
      <c r="R45" s="51"/>
      <c r="S45" s="208"/>
      <c r="T45" s="50"/>
      <c r="U45" s="50"/>
      <c r="V45" s="50"/>
      <c r="W45" s="50"/>
      <c r="X45" s="51"/>
    </row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1">
    <mergeCell ref="A1:X1"/>
    <mergeCell ref="A2:F2"/>
    <mergeCell ref="G2:M2"/>
    <mergeCell ref="N2:X2"/>
    <mergeCell ref="A3:F3"/>
    <mergeCell ref="G3:J3"/>
    <mergeCell ref="O3:V3"/>
    <mergeCell ref="A4:F16"/>
    <mergeCell ref="G4:L16"/>
    <mergeCell ref="M4:R16"/>
    <mergeCell ref="S4:X16"/>
    <mergeCell ref="A17:F17"/>
    <mergeCell ref="G17:L17"/>
    <mergeCell ref="M17:R17"/>
    <mergeCell ref="S17:X17"/>
    <mergeCell ref="A18:F30"/>
    <mergeCell ref="G18:L30"/>
    <mergeCell ref="M18:R30"/>
    <mergeCell ref="S18:X30"/>
    <mergeCell ref="A31:F31"/>
    <mergeCell ref="G31:L31"/>
    <mergeCell ref="M31:R31"/>
    <mergeCell ref="S31:X31"/>
    <mergeCell ref="A32:F44"/>
    <mergeCell ref="G32:L44"/>
    <mergeCell ref="M32:R44"/>
    <mergeCell ref="S32:X44"/>
    <mergeCell ref="A45:F45"/>
    <mergeCell ref="G45:L45"/>
    <mergeCell ref="M45:R45"/>
    <mergeCell ref="S45:X45"/>
  </mergeCells>
  <pageMargins left="0" right="0" top="0" bottom="0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1" width="14.75" customWidth="1"/>
    <col min="12" max="12" width="11.75" customWidth="1"/>
    <col min="13" max="15" width="14.75" customWidth="1"/>
    <col min="16" max="16" width="5.13" customWidth="1"/>
    <col min="17" max="17" width="22" customWidth="1"/>
    <col min="18" max="18" width="19" customWidth="1"/>
    <col min="19" max="19" width="22.63" customWidth="1"/>
    <col min="20" max="20" width="8.63" customWidth="1"/>
    <col min="21" max="26" width="10.25" customWidth="1"/>
  </cols>
  <sheetData>
    <row r="1" ht="50.25" customHeight="1" spans="1:26" x14ac:dyDescent="0.25">
      <c r="A1" s="211" t="s">
        <v>193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3"/>
      <c r="V1" s="213"/>
      <c r="W1" s="213"/>
      <c r="X1" s="213"/>
      <c r="Y1" s="213"/>
      <c r="Z1" s="213"/>
    </row>
    <row r="2" ht="42.75" customHeight="1" spans="1:26" x14ac:dyDescent="0.25">
      <c r="A2" s="175" t="s">
        <v>8</v>
      </c>
      <c r="B2" s="176"/>
      <c r="C2" s="177">
        <f>'Measurement sheet'!C2</f>
      </c>
      <c r="D2" s="63"/>
      <c r="E2" s="178" t="s">
        <v>10</v>
      </c>
      <c r="F2" s="176"/>
      <c r="G2" s="177">
        <f>'Measurement sheet'!G2</f>
      </c>
      <c r="H2" s="62"/>
      <c r="I2" s="62"/>
      <c r="J2" s="62"/>
      <c r="K2" s="63"/>
      <c r="L2" s="179" t="s">
        <v>9</v>
      </c>
      <c r="M2" s="177">
        <f>'Measurement sheet'!M2</f>
      </c>
      <c r="N2" s="62"/>
      <c r="O2" s="62"/>
      <c r="P2" s="62"/>
      <c r="Q2" s="62"/>
      <c r="R2" s="62"/>
      <c r="S2" s="150"/>
      <c r="T2" s="174"/>
      <c r="U2" s="174"/>
      <c r="V2" s="174"/>
      <c r="W2" s="174"/>
      <c r="X2" s="174"/>
      <c r="Y2" s="174"/>
      <c r="Z2" s="174"/>
    </row>
    <row r="3" ht="42.75" customHeight="1" spans="1:26" x14ac:dyDescent="0.25">
      <c r="A3" s="180" t="s">
        <v>12</v>
      </c>
      <c r="B3" s="181"/>
      <c r="C3" s="182">
        <f>'Measurement sheet'!C3</f>
        <v>20000</v>
      </c>
      <c r="D3" s="40"/>
      <c r="E3" s="183" t="s">
        <v>13</v>
      </c>
      <c r="F3" s="184"/>
      <c r="G3" s="182">
        <f>'Measurement sheet'!G3</f>
        <v>315</v>
      </c>
      <c r="H3" s="40"/>
      <c r="I3" s="183" t="s">
        <v>15</v>
      </c>
      <c r="J3" s="186">
        <f>'Main Report (2)'!J5</f>
      </c>
      <c r="K3" s="137"/>
      <c r="L3" s="137"/>
      <c r="M3" s="137"/>
      <c r="N3" s="40"/>
      <c r="O3" s="183" t="s">
        <v>180</v>
      </c>
      <c r="P3" s="181"/>
      <c r="Q3" s="187">
        <f>'Measurement sheet'!Q3</f>
      </c>
      <c r="R3" s="182" t="s">
        <v>11</v>
      </c>
      <c r="S3" s="188">
        <f>'Measurement sheet'!S3</f>
      </c>
      <c r="T3" s="174"/>
      <c r="U3" s="174"/>
      <c r="V3" s="174"/>
      <c r="W3" s="174"/>
      <c r="X3" s="174"/>
      <c r="Y3" s="174"/>
      <c r="Z3" s="174"/>
    </row>
    <row r="4" ht="46.5" customHeight="1" spans="1:26" x14ac:dyDescent="0.25">
      <c r="A4" s="214"/>
      <c r="B4" s="190"/>
      <c r="C4" s="190"/>
      <c r="D4" s="190"/>
      <c r="E4" s="215"/>
      <c r="F4" s="216"/>
      <c r="G4" s="190"/>
      <c r="H4" s="190"/>
      <c r="I4" s="190"/>
      <c r="J4" s="215"/>
      <c r="K4" s="216"/>
      <c r="L4" s="190"/>
      <c r="M4" s="190"/>
      <c r="N4" s="190"/>
      <c r="O4" s="215"/>
      <c r="P4" s="216"/>
      <c r="Q4" s="190"/>
      <c r="R4" s="190"/>
      <c r="S4" s="190"/>
      <c r="T4" s="191"/>
      <c r="U4" s="213"/>
      <c r="V4" s="213"/>
      <c r="W4" s="213"/>
      <c r="X4" s="213"/>
      <c r="Y4" s="213"/>
      <c r="Z4" s="213"/>
    </row>
    <row r="5" ht="46.5" customHeight="1" spans="1:26" x14ac:dyDescent="0.25">
      <c r="A5" s="192"/>
      <c r="B5"/>
      <c r="C5"/>
      <c r="D5"/>
      <c r="E5" s="217"/>
      <c r="F5" s="218"/>
      <c r="G5"/>
      <c r="H5"/>
      <c r="I5"/>
      <c r="J5" s="217"/>
      <c r="K5" s="218"/>
      <c r="L5"/>
      <c r="M5"/>
      <c r="N5"/>
      <c r="O5" s="217"/>
      <c r="P5" s="218"/>
      <c r="Q5"/>
      <c r="R5"/>
      <c r="S5"/>
      <c r="T5" s="193"/>
      <c r="U5" s="213"/>
      <c r="V5" s="213"/>
      <c r="W5" s="213"/>
      <c r="X5" s="213"/>
      <c r="Y5" s="213"/>
      <c r="Z5" s="213"/>
    </row>
    <row r="6" ht="46.5" customHeight="1" spans="1:26" x14ac:dyDescent="0.25">
      <c r="A6" s="192"/>
      <c r="B6"/>
      <c r="C6"/>
      <c r="D6"/>
      <c r="E6" s="217"/>
      <c r="F6" s="218"/>
      <c r="G6"/>
      <c r="H6"/>
      <c r="I6"/>
      <c r="J6" s="217"/>
      <c r="K6" s="218"/>
      <c r="L6"/>
      <c r="M6"/>
      <c r="N6"/>
      <c r="O6" s="217"/>
      <c r="P6" s="218"/>
      <c r="Q6"/>
      <c r="R6"/>
      <c r="S6"/>
      <c r="T6" s="193"/>
      <c r="U6" s="213"/>
      <c r="V6" s="213"/>
      <c r="W6" s="213"/>
      <c r="X6" s="213"/>
      <c r="Y6" s="213"/>
      <c r="Z6" s="213"/>
    </row>
    <row r="7" ht="46.5" customHeight="1" spans="1:26" x14ac:dyDescent="0.25">
      <c r="A7" s="192"/>
      <c r="B7"/>
      <c r="C7"/>
      <c r="D7"/>
      <c r="E7" s="217"/>
      <c r="F7" s="218"/>
      <c r="G7"/>
      <c r="H7"/>
      <c r="I7"/>
      <c r="J7" s="217"/>
      <c r="K7" s="218"/>
      <c r="L7"/>
      <c r="M7"/>
      <c r="N7"/>
      <c r="O7" s="217"/>
      <c r="P7" s="218"/>
      <c r="Q7"/>
      <c r="R7"/>
      <c r="S7"/>
      <c r="T7" s="193"/>
      <c r="U7" s="213"/>
      <c r="V7" s="213"/>
      <c r="W7" s="213"/>
      <c r="X7" s="213"/>
      <c r="Y7" s="213"/>
      <c r="Z7" s="213"/>
    </row>
    <row r="8" ht="46.5" customHeight="1" spans="1:26" x14ac:dyDescent="0.25">
      <c r="A8" s="192"/>
      <c r="B8"/>
      <c r="C8"/>
      <c r="D8"/>
      <c r="E8" s="217"/>
      <c r="F8" s="218"/>
      <c r="G8"/>
      <c r="H8"/>
      <c r="I8"/>
      <c r="J8" s="217"/>
      <c r="K8" s="218"/>
      <c r="L8"/>
      <c r="M8"/>
      <c r="N8"/>
      <c r="O8" s="217"/>
      <c r="P8" s="218"/>
      <c r="Q8"/>
      <c r="R8"/>
      <c r="S8"/>
      <c r="T8" s="193"/>
      <c r="U8" s="213"/>
      <c r="V8" s="213"/>
      <c r="W8" s="213"/>
      <c r="X8" s="213"/>
      <c r="Y8" s="213"/>
      <c r="Z8" s="213"/>
    </row>
    <row r="9" ht="46.5" customHeight="1" spans="1:26" x14ac:dyDescent="0.25">
      <c r="A9" s="192"/>
      <c r="B9"/>
      <c r="C9"/>
      <c r="D9"/>
      <c r="E9" s="217"/>
      <c r="F9" s="218"/>
      <c r="G9"/>
      <c r="H9"/>
      <c r="I9"/>
      <c r="J9" s="217"/>
      <c r="K9" s="218"/>
      <c r="L9"/>
      <c r="M9"/>
      <c r="N9"/>
      <c r="O9" s="217"/>
      <c r="P9" s="218"/>
      <c r="Q9"/>
      <c r="R9"/>
      <c r="S9"/>
      <c r="T9" s="193"/>
      <c r="U9" s="213"/>
      <c r="V9" s="213"/>
      <c r="W9" s="213"/>
      <c r="X9" s="213"/>
      <c r="Y9" s="213"/>
      <c r="Z9" s="213"/>
    </row>
    <row r="10" ht="46.5" customHeight="1" spans="1:26" x14ac:dyDescent="0.25">
      <c r="A10" s="192"/>
      <c r="B10"/>
      <c r="C10"/>
      <c r="D10"/>
      <c r="E10" s="217"/>
      <c r="F10" s="218"/>
      <c r="G10"/>
      <c r="H10"/>
      <c r="I10"/>
      <c r="J10" s="217"/>
      <c r="K10" s="218"/>
      <c r="L10"/>
      <c r="M10"/>
      <c r="N10"/>
      <c r="O10" s="217"/>
      <c r="P10" s="218"/>
      <c r="Q10"/>
      <c r="R10"/>
      <c r="S10"/>
      <c r="T10" s="193"/>
      <c r="U10" s="213"/>
      <c r="V10" s="213"/>
      <c r="W10" s="213"/>
      <c r="X10" s="213"/>
      <c r="Y10" s="213"/>
      <c r="Z10" s="213"/>
    </row>
    <row r="11" ht="46.5" customHeight="1" spans="1:26" x14ac:dyDescent="0.25">
      <c r="A11" s="219"/>
      <c r="B11" s="212"/>
      <c r="C11" s="212"/>
      <c r="D11" s="212"/>
      <c r="E11" s="220"/>
      <c r="F11" s="221"/>
      <c r="G11" s="212"/>
      <c r="H11" s="212"/>
      <c r="I11" s="212"/>
      <c r="J11" s="220"/>
      <c r="K11" s="221"/>
      <c r="L11" s="212"/>
      <c r="M11" s="212"/>
      <c r="N11" s="212"/>
      <c r="O11" s="220"/>
      <c r="P11" s="221"/>
      <c r="Q11" s="212"/>
      <c r="R11" s="212"/>
      <c r="S11" s="212"/>
      <c r="T11" s="222"/>
      <c r="U11" s="213"/>
      <c r="V11" s="213"/>
      <c r="W11" s="213"/>
      <c r="X11" s="213"/>
      <c r="Y11" s="213"/>
      <c r="Z11" s="213"/>
    </row>
    <row r="12" ht="46.5" customHeight="1" spans="1:26" x14ac:dyDescent="0.25">
      <c r="A12" s="223" t="s">
        <v>194</v>
      </c>
      <c r="B12" s="224"/>
      <c r="C12" s="4"/>
      <c r="D12" s="4"/>
      <c r="E12" s="5"/>
      <c r="F12" s="225" t="s">
        <v>194</v>
      </c>
      <c r="G12" s="224"/>
      <c r="H12" s="4"/>
      <c r="I12" s="4"/>
      <c r="J12" s="5"/>
      <c r="K12" s="225" t="s">
        <v>194</v>
      </c>
      <c r="L12" s="224"/>
      <c r="M12" s="4"/>
      <c r="N12" s="4"/>
      <c r="O12" s="5"/>
      <c r="P12" s="225" t="s">
        <v>194</v>
      </c>
      <c r="Q12" s="224"/>
      <c r="R12" s="4"/>
      <c r="S12" s="4"/>
      <c r="T12" s="5"/>
      <c r="U12" s="226"/>
      <c r="V12" s="226"/>
      <c r="W12" s="226"/>
      <c r="X12" s="226"/>
      <c r="Y12" s="226"/>
      <c r="Z12" s="226"/>
    </row>
    <row r="13" ht="46.5" customHeight="1" spans="1:26" x14ac:dyDescent="0.25">
      <c r="A13" s="227"/>
      <c r="B13" s="228"/>
      <c r="C13" s="228"/>
      <c r="D13" s="228"/>
      <c r="E13" s="229"/>
      <c r="F13" s="230"/>
      <c r="G13" s="228"/>
      <c r="H13" s="228"/>
      <c r="I13" s="228"/>
      <c r="J13" s="229"/>
      <c r="K13" s="230"/>
      <c r="L13" s="228"/>
      <c r="M13" s="228"/>
      <c r="N13" s="228"/>
      <c r="O13" s="229"/>
      <c r="P13" s="230" t="s">
        <v>195</v>
      </c>
      <c r="Q13" s="228"/>
      <c r="R13" s="228"/>
      <c r="S13" s="228"/>
      <c r="T13" s="231"/>
      <c r="U13" s="213"/>
      <c r="V13" s="213"/>
      <c r="W13" s="213"/>
      <c r="X13" s="213"/>
      <c r="Y13" s="213"/>
      <c r="Z13" s="213"/>
    </row>
    <row r="14" ht="46.5" customHeight="1" spans="1:26" x14ac:dyDescent="0.25">
      <c r="A14" s="192"/>
      <c r="B14"/>
      <c r="C14"/>
      <c r="D14"/>
      <c r="E14" s="217"/>
      <c r="F14" s="218"/>
      <c r="G14"/>
      <c r="H14"/>
      <c r="I14"/>
      <c r="J14" s="217"/>
      <c r="K14" s="218"/>
      <c r="L14"/>
      <c r="M14"/>
      <c r="N14"/>
      <c r="O14" s="217"/>
      <c r="P14" s="218"/>
      <c r="Q14"/>
      <c r="R14"/>
      <c r="S14"/>
      <c r="T14" s="193"/>
      <c r="U14" s="213"/>
      <c r="V14" s="213"/>
      <c r="W14" s="213"/>
      <c r="X14" s="213"/>
      <c r="Y14" s="213"/>
      <c r="Z14" s="213"/>
    </row>
    <row r="15" ht="46.5" customHeight="1" spans="1:26" x14ac:dyDescent="0.25">
      <c r="A15" s="192"/>
      <c r="B15"/>
      <c r="C15"/>
      <c r="D15"/>
      <c r="E15" s="217"/>
      <c r="F15" s="218"/>
      <c r="G15"/>
      <c r="H15"/>
      <c r="I15"/>
      <c r="J15" s="217"/>
      <c r="K15" s="218"/>
      <c r="L15"/>
      <c r="M15"/>
      <c r="N15"/>
      <c r="O15" s="217"/>
      <c r="P15" s="218"/>
      <c r="Q15"/>
      <c r="R15"/>
      <c r="S15"/>
      <c r="T15" s="193"/>
      <c r="U15" s="213"/>
      <c r="V15" s="213"/>
      <c r="W15" s="213"/>
      <c r="X15" s="213"/>
      <c r="Y15" s="213"/>
      <c r="Z15" s="213"/>
    </row>
    <row r="16" ht="46.5" customHeight="1" spans="1:26" x14ac:dyDescent="0.25">
      <c r="A16" s="192"/>
      <c r="B16"/>
      <c r="C16"/>
      <c r="D16"/>
      <c r="E16" s="217"/>
      <c r="F16" s="218"/>
      <c r="G16"/>
      <c r="H16"/>
      <c r="I16"/>
      <c r="J16" s="217"/>
      <c r="K16" s="218"/>
      <c r="L16"/>
      <c r="M16"/>
      <c r="N16"/>
      <c r="O16" s="217"/>
      <c r="P16" s="218"/>
      <c r="Q16"/>
      <c r="R16"/>
      <c r="S16"/>
      <c r="T16" s="193"/>
      <c r="U16" s="213"/>
      <c r="V16" s="213"/>
      <c r="W16" s="213"/>
      <c r="X16" s="213"/>
      <c r="Y16" s="213"/>
      <c r="Z16" s="213"/>
    </row>
    <row r="17" ht="46.5" customHeight="1" spans="1:26" x14ac:dyDescent="0.25">
      <c r="A17" s="192"/>
      <c r="B17"/>
      <c r="C17"/>
      <c r="D17"/>
      <c r="E17" s="217"/>
      <c r="F17" s="218"/>
      <c r="G17"/>
      <c r="H17"/>
      <c r="I17"/>
      <c r="J17" s="217"/>
      <c r="K17" s="218"/>
      <c r="L17"/>
      <c r="M17"/>
      <c r="N17"/>
      <c r="O17" s="217"/>
      <c r="P17" s="218"/>
      <c r="Q17"/>
      <c r="R17"/>
      <c r="S17"/>
      <c r="T17" s="193"/>
      <c r="U17" s="213"/>
      <c r="V17" s="213"/>
      <c r="W17" s="213"/>
      <c r="X17" s="213"/>
      <c r="Y17" s="213"/>
      <c r="Z17" s="213"/>
    </row>
    <row r="18" ht="46.5" customHeight="1" spans="1:26" x14ac:dyDescent="0.25">
      <c r="A18" s="192"/>
      <c r="B18"/>
      <c r="C18"/>
      <c r="D18"/>
      <c r="E18" s="217"/>
      <c r="F18" s="218"/>
      <c r="G18"/>
      <c r="H18"/>
      <c r="I18"/>
      <c r="J18" s="217"/>
      <c r="K18" s="218"/>
      <c r="L18"/>
      <c r="M18"/>
      <c r="N18"/>
      <c r="O18" s="217"/>
      <c r="P18" s="218"/>
      <c r="Q18"/>
      <c r="R18"/>
      <c r="S18"/>
      <c r="T18" s="193"/>
      <c r="U18" s="213"/>
      <c r="V18" s="213"/>
      <c r="W18" s="213"/>
      <c r="X18" s="213"/>
      <c r="Y18" s="213"/>
      <c r="Z18" s="213"/>
    </row>
    <row r="19" ht="46.5" customHeight="1" spans="1:26" x14ac:dyDescent="0.25">
      <c r="A19" s="192"/>
      <c r="B19"/>
      <c r="C19"/>
      <c r="D19"/>
      <c r="E19" s="217"/>
      <c r="F19" s="218"/>
      <c r="G19"/>
      <c r="H19"/>
      <c r="I19"/>
      <c r="J19" s="217"/>
      <c r="K19" s="218"/>
      <c r="L19"/>
      <c r="M19"/>
      <c r="N19"/>
      <c r="O19" s="217"/>
      <c r="P19" s="218"/>
      <c r="Q19"/>
      <c r="R19"/>
      <c r="S19"/>
      <c r="T19" s="193"/>
      <c r="U19" s="213"/>
      <c r="V19" s="213"/>
      <c r="W19" s="213"/>
      <c r="X19" s="213"/>
      <c r="Y19" s="213"/>
      <c r="Z19" s="213"/>
    </row>
    <row r="20" ht="46.5" customHeight="1" spans="1:26" x14ac:dyDescent="0.25">
      <c r="A20" s="219"/>
      <c r="B20" s="212"/>
      <c r="C20" s="212"/>
      <c r="D20" s="212"/>
      <c r="E20" s="220"/>
      <c r="F20" s="221"/>
      <c r="G20" s="212"/>
      <c r="H20" s="212"/>
      <c r="I20" s="212"/>
      <c r="J20" s="220"/>
      <c r="K20" s="221"/>
      <c r="L20" s="212"/>
      <c r="M20" s="212"/>
      <c r="N20" s="212"/>
      <c r="O20" s="220"/>
      <c r="P20" s="221"/>
      <c r="Q20" s="212"/>
      <c r="R20" s="212"/>
      <c r="S20" s="212"/>
      <c r="T20" s="222"/>
      <c r="U20" s="213"/>
      <c r="V20" s="213"/>
      <c r="W20" s="213"/>
      <c r="X20" s="213"/>
      <c r="Y20" s="213"/>
      <c r="Z20" s="213"/>
    </row>
    <row r="21" ht="46.5" customHeight="1" spans="1:26" x14ac:dyDescent="0.25">
      <c r="A21" s="232" t="s">
        <v>194</v>
      </c>
      <c r="B21" s="224"/>
      <c r="C21" s="4"/>
      <c r="D21" s="4"/>
      <c r="E21" s="5"/>
      <c r="F21" s="233" t="s">
        <v>194</v>
      </c>
      <c r="G21" s="234"/>
      <c r="H21" s="4"/>
      <c r="I21" s="4"/>
      <c r="J21" s="36"/>
      <c r="K21" s="233" t="s">
        <v>194</v>
      </c>
      <c r="L21" s="234"/>
      <c r="M21" s="4"/>
      <c r="N21" s="4"/>
      <c r="O21" s="5"/>
      <c r="P21" s="233" t="s">
        <v>194</v>
      </c>
      <c r="Q21" s="234"/>
      <c r="R21" s="4"/>
      <c r="S21" s="4"/>
      <c r="T21" s="36"/>
      <c r="U21" s="226"/>
      <c r="V21" s="226"/>
      <c r="W21" s="226"/>
      <c r="X21" s="226"/>
      <c r="Y21" s="226"/>
      <c r="Z21" s="226"/>
    </row>
    <row r="22" ht="46.5" customHeight="1" spans="1:26" x14ac:dyDescent="0.25">
      <c r="A22" s="227"/>
      <c r="B22" s="228"/>
      <c r="C22" s="228"/>
      <c r="D22" s="228"/>
      <c r="E22" s="229"/>
      <c r="F22" s="230"/>
      <c r="G22" s="228"/>
      <c r="H22" s="228"/>
      <c r="I22" s="228"/>
      <c r="J22" s="229"/>
      <c r="K22" s="230"/>
      <c r="L22" s="228"/>
      <c r="M22" s="228"/>
      <c r="N22" s="228"/>
      <c r="O22" s="229"/>
      <c r="P22" s="230"/>
      <c r="Q22" s="228"/>
      <c r="R22" s="228"/>
      <c r="S22" s="228"/>
      <c r="T22" s="231"/>
      <c r="U22" s="213"/>
      <c r="V22" s="213"/>
      <c r="W22" s="213"/>
      <c r="X22" s="213"/>
      <c r="Y22" s="213"/>
      <c r="Z22" s="213"/>
    </row>
    <row r="23" ht="46.5" customHeight="1" spans="1:26" x14ac:dyDescent="0.25">
      <c r="A23" s="192"/>
      <c r="B23"/>
      <c r="C23"/>
      <c r="D23"/>
      <c r="E23" s="217"/>
      <c r="F23" s="218"/>
      <c r="G23"/>
      <c r="H23"/>
      <c r="I23"/>
      <c r="J23" s="217"/>
      <c r="K23" s="218"/>
      <c r="L23"/>
      <c r="M23"/>
      <c r="N23"/>
      <c r="O23" s="217"/>
      <c r="P23" s="218"/>
      <c r="Q23"/>
      <c r="R23"/>
      <c r="S23"/>
      <c r="T23" s="193"/>
      <c r="U23" s="213"/>
      <c r="V23" s="213"/>
      <c r="W23" s="213"/>
      <c r="X23" s="213"/>
      <c r="Y23" s="213"/>
      <c r="Z23" s="213"/>
    </row>
    <row r="24" ht="46.5" customHeight="1" spans="1:26" x14ac:dyDescent="0.25">
      <c r="A24" s="192"/>
      <c r="B24"/>
      <c r="C24"/>
      <c r="D24"/>
      <c r="E24" s="217"/>
      <c r="F24" s="218"/>
      <c r="G24"/>
      <c r="H24"/>
      <c r="I24"/>
      <c r="J24" s="217"/>
      <c r="K24" s="218"/>
      <c r="L24"/>
      <c r="M24"/>
      <c r="N24"/>
      <c r="O24" s="217"/>
      <c r="P24" s="218"/>
      <c r="Q24"/>
      <c r="R24"/>
      <c r="S24"/>
      <c r="T24" s="193"/>
      <c r="U24" s="213"/>
      <c r="V24" s="213"/>
      <c r="W24" s="213"/>
      <c r="X24" s="213"/>
      <c r="Y24" s="213"/>
      <c r="Z24" s="213"/>
    </row>
    <row r="25" ht="46.5" customHeight="1" spans="1:26" x14ac:dyDescent="0.25">
      <c r="A25" s="192"/>
      <c r="B25"/>
      <c r="C25"/>
      <c r="D25"/>
      <c r="E25" s="217"/>
      <c r="F25" s="218"/>
      <c r="G25"/>
      <c r="H25"/>
      <c r="I25"/>
      <c r="J25" s="217"/>
      <c r="K25" s="218"/>
      <c r="L25"/>
      <c r="M25"/>
      <c r="N25"/>
      <c r="O25" s="217"/>
      <c r="P25" s="218"/>
      <c r="Q25"/>
      <c r="R25"/>
      <c r="S25"/>
      <c r="T25" s="193"/>
      <c r="U25" s="213"/>
      <c r="V25" s="213"/>
      <c r="W25" s="213"/>
      <c r="X25" s="213"/>
      <c r="Y25" s="213"/>
      <c r="Z25" s="213"/>
    </row>
    <row r="26" ht="46.5" customHeight="1" spans="1:26" x14ac:dyDescent="0.25">
      <c r="A26" s="192"/>
      <c r="B26"/>
      <c r="C26"/>
      <c r="D26"/>
      <c r="E26" s="217"/>
      <c r="F26" s="218"/>
      <c r="G26"/>
      <c r="H26"/>
      <c r="I26"/>
      <c r="J26" s="217"/>
      <c r="K26" s="218"/>
      <c r="L26"/>
      <c r="M26"/>
      <c r="N26"/>
      <c r="O26" s="217"/>
      <c r="P26" s="218"/>
      <c r="Q26"/>
      <c r="R26"/>
      <c r="S26"/>
      <c r="T26" s="193"/>
      <c r="U26" s="213"/>
      <c r="V26" s="213"/>
      <c r="W26" s="213"/>
      <c r="X26" s="213"/>
      <c r="Y26" s="213"/>
      <c r="Z26" s="213"/>
    </row>
    <row r="27" ht="46.5" customHeight="1" spans="1:26" x14ac:dyDescent="0.25">
      <c r="A27" s="192"/>
      <c r="B27"/>
      <c r="C27"/>
      <c r="D27"/>
      <c r="E27" s="217"/>
      <c r="F27" s="218"/>
      <c r="G27"/>
      <c r="H27"/>
      <c r="I27"/>
      <c r="J27" s="217"/>
      <c r="K27" s="218"/>
      <c r="L27"/>
      <c r="M27"/>
      <c r="N27"/>
      <c r="O27" s="217"/>
      <c r="P27" s="218"/>
      <c r="Q27"/>
      <c r="R27"/>
      <c r="S27"/>
      <c r="T27" s="193"/>
      <c r="U27" s="213"/>
      <c r="V27" s="213"/>
      <c r="W27" s="213"/>
      <c r="X27" s="213"/>
      <c r="Y27" s="213"/>
      <c r="Z27" s="213"/>
    </row>
    <row r="28" ht="46.5" customHeight="1" spans="1:26" x14ac:dyDescent="0.25">
      <c r="A28" s="192"/>
      <c r="B28"/>
      <c r="C28"/>
      <c r="D28"/>
      <c r="E28" s="217"/>
      <c r="F28" s="218"/>
      <c r="G28"/>
      <c r="H28"/>
      <c r="I28"/>
      <c r="J28" s="217"/>
      <c r="K28" s="218"/>
      <c r="L28"/>
      <c r="M28"/>
      <c r="N28"/>
      <c r="O28" s="217"/>
      <c r="P28" s="218"/>
      <c r="Q28"/>
      <c r="R28"/>
      <c r="S28"/>
      <c r="T28" s="193"/>
      <c r="U28" s="213"/>
      <c r="V28" s="213"/>
      <c r="W28" s="213"/>
      <c r="X28" s="213"/>
      <c r="Y28" s="213"/>
      <c r="Z28" s="213"/>
    </row>
    <row r="29" ht="46.5" customHeight="1" spans="1:26" x14ac:dyDescent="0.25">
      <c r="A29" s="219"/>
      <c r="B29" s="212"/>
      <c r="C29" s="212"/>
      <c r="D29" s="212"/>
      <c r="E29" s="220"/>
      <c r="F29" s="221"/>
      <c r="G29" s="212"/>
      <c r="H29" s="212"/>
      <c r="I29" s="212"/>
      <c r="J29" s="220"/>
      <c r="K29" s="221"/>
      <c r="L29" s="212"/>
      <c r="M29" s="212"/>
      <c r="N29" s="212"/>
      <c r="O29" s="220"/>
      <c r="P29" s="221"/>
      <c r="Q29" s="212"/>
      <c r="R29" s="212"/>
      <c r="S29" s="212"/>
      <c r="T29" s="222"/>
      <c r="U29" s="213"/>
      <c r="V29" s="213"/>
      <c r="W29" s="213"/>
      <c r="X29" s="213"/>
      <c r="Y29" s="213"/>
      <c r="Z29" s="213"/>
    </row>
    <row r="30" ht="46.5" customHeight="1" spans="1:26" x14ac:dyDescent="0.25">
      <c r="A30" s="232" t="s">
        <v>194</v>
      </c>
      <c r="B30" s="234"/>
      <c r="C30" s="4"/>
      <c r="D30" s="4"/>
      <c r="E30" s="5"/>
      <c r="F30" s="233" t="s">
        <v>194</v>
      </c>
      <c r="G30" s="234"/>
      <c r="H30" s="4"/>
      <c r="I30" s="4"/>
      <c r="J30" s="5"/>
      <c r="K30" s="233" t="s">
        <v>194</v>
      </c>
      <c r="L30" s="234"/>
      <c r="M30" s="4"/>
      <c r="N30" s="4"/>
      <c r="O30" s="5"/>
      <c r="P30" s="233" t="s">
        <v>194</v>
      </c>
      <c r="Q30" s="234"/>
      <c r="R30" s="4"/>
      <c r="S30" s="4"/>
      <c r="T30" s="36"/>
      <c r="U30" s="213"/>
      <c r="V30" s="213"/>
      <c r="W30" s="213"/>
      <c r="X30" s="213"/>
      <c r="Y30" s="213"/>
      <c r="Z30" s="213"/>
    </row>
    <row r="31" ht="46.5" customHeight="1" spans="1:26" x14ac:dyDescent="0.25">
      <c r="A31" s="227"/>
      <c r="B31" s="228"/>
      <c r="C31" s="228"/>
      <c r="D31" s="228"/>
      <c r="E31" s="229"/>
      <c r="F31" s="230"/>
      <c r="G31" s="228"/>
      <c r="H31" s="228"/>
      <c r="I31" s="228"/>
      <c r="J31" s="229"/>
      <c r="K31" s="230"/>
      <c r="L31" s="228"/>
      <c r="M31" s="228"/>
      <c r="N31" s="228"/>
      <c r="O31" s="229"/>
      <c r="P31" s="230"/>
      <c r="Q31" s="228"/>
      <c r="R31" s="228"/>
      <c r="S31" s="228"/>
      <c r="T31" s="231"/>
      <c r="U31" s="213"/>
      <c r="V31" s="213"/>
      <c r="W31" s="213"/>
      <c r="X31" s="213"/>
      <c r="Y31" s="213"/>
      <c r="Z31" s="213"/>
    </row>
    <row r="32" ht="46.5" customHeight="1" spans="1:26" x14ac:dyDescent="0.25">
      <c r="A32" s="192"/>
      <c r="B32"/>
      <c r="C32"/>
      <c r="D32"/>
      <c r="E32" s="217"/>
      <c r="F32" s="218"/>
      <c r="G32"/>
      <c r="H32"/>
      <c r="I32"/>
      <c r="J32" s="217"/>
      <c r="K32" s="218"/>
      <c r="L32"/>
      <c r="M32"/>
      <c r="N32"/>
      <c r="O32" s="217"/>
      <c r="P32" s="218"/>
      <c r="Q32"/>
      <c r="R32"/>
      <c r="S32"/>
      <c r="T32" s="193"/>
      <c r="U32" s="213"/>
      <c r="V32" s="213"/>
      <c r="W32" s="213"/>
      <c r="X32" s="213"/>
      <c r="Y32" s="213"/>
      <c r="Z32" s="213"/>
    </row>
    <row r="33" ht="46.5" customHeight="1" spans="1:26" x14ac:dyDescent="0.25">
      <c r="A33" s="192"/>
      <c r="B33"/>
      <c r="C33"/>
      <c r="D33"/>
      <c r="E33" s="217"/>
      <c r="F33" s="218"/>
      <c r="G33"/>
      <c r="H33"/>
      <c r="I33"/>
      <c r="J33" s="217"/>
      <c r="K33" s="218"/>
      <c r="L33"/>
      <c r="M33"/>
      <c r="N33"/>
      <c r="O33" s="217"/>
      <c r="P33" s="218"/>
      <c r="Q33"/>
      <c r="R33"/>
      <c r="S33"/>
      <c r="T33" s="193"/>
      <c r="U33" s="213"/>
      <c r="V33" s="213"/>
      <c r="W33" s="213"/>
      <c r="X33" s="213"/>
      <c r="Y33" s="213"/>
      <c r="Z33" s="213"/>
    </row>
    <row r="34" ht="46.5" customHeight="1" spans="1:26" x14ac:dyDescent="0.25">
      <c r="A34" s="192"/>
      <c r="B34"/>
      <c r="C34"/>
      <c r="D34"/>
      <c r="E34" s="217"/>
      <c r="F34" s="218"/>
      <c r="G34"/>
      <c r="H34"/>
      <c r="I34"/>
      <c r="J34" s="217"/>
      <c r="K34" s="218"/>
      <c r="L34"/>
      <c r="M34"/>
      <c r="N34"/>
      <c r="O34" s="217"/>
      <c r="P34" s="218"/>
      <c r="Q34"/>
      <c r="R34"/>
      <c r="S34"/>
      <c r="T34" s="193"/>
      <c r="U34" s="213"/>
      <c r="V34" s="213"/>
      <c r="W34" s="213"/>
      <c r="X34" s="213"/>
      <c r="Y34" s="213"/>
      <c r="Z34" s="213"/>
    </row>
    <row r="35" ht="46.5" customHeight="1" spans="1:26" x14ac:dyDescent="0.25">
      <c r="A35" s="192"/>
      <c r="B35"/>
      <c r="C35"/>
      <c r="D35"/>
      <c r="E35" s="217"/>
      <c r="F35" s="218"/>
      <c r="G35"/>
      <c r="H35"/>
      <c r="I35"/>
      <c r="J35" s="217"/>
      <c r="K35" s="218"/>
      <c r="L35"/>
      <c r="M35"/>
      <c r="N35"/>
      <c r="O35" s="217"/>
      <c r="P35" s="218"/>
      <c r="Q35"/>
      <c r="R35"/>
      <c r="S35"/>
      <c r="T35" s="193"/>
      <c r="U35" s="213"/>
      <c r="V35" s="213"/>
      <c r="W35" s="213"/>
      <c r="X35" s="213"/>
      <c r="Y35" s="213"/>
      <c r="Z35" s="213"/>
    </row>
    <row r="36" ht="46.5" customHeight="1" spans="1:26" x14ac:dyDescent="0.25">
      <c r="A36" s="192"/>
      <c r="B36"/>
      <c r="C36"/>
      <c r="D36"/>
      <c r="E36" s="217"/>
      <c r="F36" s="218"/>
      <c r="G36"/>
      <c r="H36"/>
      <c r="I36"/>
      <c r="J36" s="217"/>
      <c r="K36" s="218"/>
      <c r="L36"/>
      <c r="M36"/>
      <c r="N36"/>
      <c r="O36" s="217"/>
      <c r="P36" s="218"/>
      <c r="Q36"/>
      <c r="R36"/>
      <c r="S36"/>
      <c r="T36" s="193"/>
      <c r="U36" s="213"/>
      <c r="V36" s="213"/>
      <c r="W36" s="213"/>
      <c r="X36" s="213"/>
      <c r="Y36" s="213"/>
      <c r="Z36" s="213"/>
    </row>
    <row r="37" ht="46.5" customHeight="1" spans="1:26" x14ac:dyDescent="0.25">
      <c r="A37" s="192"/>
      <c r="B37"/>
      <c r="C37"/>
      <c r="D37"/>
      <c r="E37" s="217"/>
      <c r="F37" s="218"/>
      <c r="G37"/>
      <c r="H37"/>
      <c r="I37"/>
      <c r="J37" s="217"/>
      <c r="K37" s="218"/>
      <c r="L37"/>
      <c r="M37"/>
      <c r="N37"/>
      <c r="O37" s="217"/>
      <c r="P37" s="218"/>
      <c r="Q37"/>
      <c r="R37"/>
      <c r="S37"/>
      <c r="T37" s="193"/>
      <c r="U37" s="213"/>
      <c r="V37" s="213"/>
      <c r="W37" s="213"/>
      <c r="X37" s="213"/>
      <c r="Y37" s="213"/>
      <c r="Z37" s="213"/>
    </row>
    <row r="38" ht="46.5" customHeight="1" spans="1:26" x14ac:dyDescent="0.25">
      <c r="A38" s="219"/>
      <c r="B38" s="212"/>
      <c r="C38" s="212"/>
      <c r="D38" s="212"/>
      <c r="E38" s="220"/>
      <c r="F38" s="221"/>
      <c r="G38" s="212"/>
      <c r="H38" s="212"/>
      <c r="I38" s="212"/>
      <c r="J38" s="220"/>
      <c r="K38" s="221"/>
      <c r="L38" s="212"/>
      <c r="M38" s="212"/>
      <c r="N38" s="212"/>
      <c r="O38" s="220"/>
      <c r="P38" s="221"/>
      <c r="Q38" s="212"/>
      <c r="R38" s="212"/>
      <c r="S38" s="212"/>
      <c r="T38" s="222"/>
      <c r="U38" s="213"/>
      <c r="V38" s="213"/>
      <c r="W38" s="213"/>
      <c r="X38" s="213"/>
      <c r="Y38" s="213"/>
      <c r="Z38" s="213"/>
    </row>
    <row r="39" ht="46.5" customHeight="1" spans="1:26" x14ac:dyDescent="0.25">
      <c r="A39" s="235" t="s">
        <v>194</v>
      </c>
      <c r="B39" s="234"/>
      <c r="C39" s="4"/>
      <c r="D39" s="4"/>
      <c r="E39" s="5"/>
      <c r="F39" s="236" t="s">
        <v>194</v>
      </c>
      <c r="G39" s="237"/>
      <c r="H39" s="137"/>
      <c r="I39" s="137"/>
      <c r="J39" s="40"/>
      <c r="K39" s="236" t="s">
        <v>194</v>
      </c>
      <c r="L39" s="237"/>
      <c r="M39" s="137"/>
      <c r="N39" s="137"/>
      <c r="O39" s="40"/>
      <c r="P39" s="236" t="s">
        <v>194</v>
      </c>
      <c r="Q39" s="237"/>
      <c r="R39" s="137"/>
      <c r="S39" s="137"/>
      <c r="T39" s="142"/>
      <c r="U39" s="213"/>
      <c r="V39" s="213"/>
      <c r="W39" s="213"/>
      <c r="X39" s="213"/>
      <c r="Y39" s="213"/>
      <c r="Z39" s="213"/>
    </row>
    <row r="40" ht="6" customHeight="1" spans="1:26" x14ac:dyDescent="0.25">
      <c r="A40" s="23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s="213"/>
      <c r="V40" s="213"/>
      <c r="W40" s="213"/>
      <c r="X40" s="213"/>
      <c r="Y40" s="213"/>
      <c r="Z40" s="213"/>
    </row>
    <row r="41" ht="13.5" customHeight="1" spans="1:26" x14ac:dyDescent="0.25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ht="13.5" customHeight="1" spans="1:26" x14ac:dyDescent="0.25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ht="13.5" customHeight="1" spans="1:26" x14ac:dyDescent="0.25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ht="13.5" customHeight="1" spans="1:26" x14ac:dyDescent="0.25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ht="13.5" customHeight="1" spans="1:26" x14ac:dyDescent="0.2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ht="13.5" customHeight="1" spans="1:26" x14ac:dyDescent="0.25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ht="13.5" customHeight="1" spans="1:26" x14ac:dyDescent="0.25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ht="13.5" customHeight="1" spans="1:26" x14ac:dyDescent="0.25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ht="13.5" customHeight="1" spans="1:26" x14ac:dyDescent="0.25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ht="13.5" customHeight="1" spans="1:26" x14ac:dyDescent="0.25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ht="13.5" customHeight="1" spans="1:26" x14ac:dyDescent="0.25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ht="13.5" customHeight="1" spans="1:26" x14ac:dyDescent="0.25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ht="13.5" customHeight="1" spans="1:26" x14ac:dyDescent="0.25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ht="13.5" customHeight="1" spans="1:26" x14ac:dyDescent="0.25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ht="13.5" customHeight="1" spans="1:26" x14ac:dyDescent="0.25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ht="13.5" customHeight="1" spans="1:26" x14ac:dyDescent="0.25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ht="13.5" customHeight="1" spans="1:26" x14ac:dyDescent="0.25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ht="13.5" customHeight="1" spans="1:26" x14ac:dyDescent="0.25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ht="13.5" customHeight="1" spans="1:26" x14ac:dyDescent="0.25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ht="13.5" customHeight="1" spans="1:26" x14ac:dyDescent="0.25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ht="13.5" customHeight="1" spans="1:26" x14ac:dyDescent="0.25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ht="13.5" customHeight="1" spans="1:26" x14ac:dyDescent="0.25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ht="13.5" customHeight="1" spans="1:26" x14ac:dyDescent="0.25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ht="13.5" customHeight="1" spans="1:26" x14ac:dyDescent="0.25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ht="13.5" customHeight="1" spans="1:26" x14ac:dyDescent="0.2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ht="13.5" customHeight="1" spans="1:26" x14ac:dyDescent="0.25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ht="13.5" customHeight="1" spans="1:26" x14ac:dyDescent="0.25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ht="13.5" customHeight="1" spans="1:26" x14ac:dyDescent="0.25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ht="13.5" customHeight="1" spans="1:26" x14ac:dyDescent="0.25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ht="13.5" customHeight="1" spans="1:26" x14ac:dyDescent="0.25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ht="13.5" customHeight="1" spans="1:26" x14ac:dyDescent="0.25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ht="13.5" customHeight="1" spans="1:26" x14ac:dyDescent="0.25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ht="13.5" customHeight="1" spans="1:26" x14ac:dyDescent="0.25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ht="13.5" customHeight="1" spans="1:26" x14ac:dyDescent="0.25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ht="13.5" customHeight="1" spans="1:26" x14ac:dyDescent="0.2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ht="13.5" customHeight="1" spans="1:26" x14ac:dyDescent="0.25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ht="13.5" customHeight="1" spans="1:26" x14ac:dyDescent="0.25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ht="13.5" customHeight="1" spans="1:26" x14ac:dyDescent="0.25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ht="13.5" customHeight="1" spans="1:26" x14ac:dyDescent="0.25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ht="13.5" customHeight="1" spans="1:26" x14ac:dyDescent="0.25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ht="13.5" customHeight="1" spans="1:26" x14ac:dyDescent="0.25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ht="13.5" customHeight="1" spans="1:26" x14ac:dyDescent="0.25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ht="13.5" customHeight="1" spans="1:26" x14ac:dyDescent="0.25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ht="13.5" customHeight="1" spans="1:26" x14ac:dyDescent="0.25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ht="13.5" customHeight="1" spans="1:26" x14ac:dyDescent="0.2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ht="13.5" customHeight="1" spans="1:26" x14ac:dyDescent="0.25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ht="13.5" customHeight="1" spans="1:26" x14ac:dyDescent="0.25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ht="13.5" customHeight="1" spans="1:26" x14ac:dyDescent="0.25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ht="13.5" customHeight="1" spans="1:26" x14ac:dyDescent="0.25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ht="13.5" customHeight="1" spans="1:26" x14ac:dyDescent="0.25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ht="13.5" customHeight="1" spans="1:26" x14ac:dyDescent="0.25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ht="13.5" customHeight="1" spans="1:26" x14ac:dyDescent="0.25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ht="13.5" customHeight="1" spans="1:26" x14ac:dyDescent="0.25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ht="13.5" customHeight="1" spans="1:26" x14ac:dyDescent="0.25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ht="13.5" customHeight="1" spans="1:26" x14ac:dyDescent="0.2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ht="13.5" customHeight="1" spans="1:26" x14ac:dyDescent="0.25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ht="13.5" customHeight="1" spans="1:26" x14ac:dyDescent="0.25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ht="13.5" customHeight="1" spans="1:26" x14ac:dyDescent="0.25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ht="13.5" customHeight="1" spans="1:26" x14ac:dyDescent="0.25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ht="13.5" customHeight="1" spans="1:26" x14ac:dyDescent="0.25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13.5" customHeight="1" spans="1:26" x14ac:dyDescent="0.25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13.5" customHeight="1" spans="1:26" x14ac:dyDescent="0.25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13.5" customHeight="1" spans="1:26" x14ac:dyDescent="0.25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13.5" customHeight="1" spans="1:26" x14ac:dyDescent="0.25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13.5" customHeight="1" spans="1:26" x14ac:dyDescent="0.2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ht="13.5" customHeight="1" spans="1:26" x14ac:dyDescent="0.25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ht="13.5" customHeight="1" spans="1:26" x14ac:dyDescent="0.25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ht="13.5" customHeight="1" spans="1:26" x14ac:dyDescent="0.25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ht="13.5" customHeight="1" spans="1:26" x14ac:dyDescent="0.25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ht="13.5" customHeight="1" spans="1:26" x14ac:dyDescent="0.25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ht="13.5" customHeight="1" spans="1:26" x14ac:dyDescent="0.25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ht="13.5" customHeight="1" spans="1:26" x14ac:dyDescent="0.25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ht="13.5" customHeight="1" spans="1:26" x14ac:dyDescent="0.25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ht="13.5" customHeight="1" spans="1:26" x14ac:dyDescent="0.25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ht="13.5" customHeight="1" spans="1:26" x14ac:dyDescent="0.2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ht="13.5" customHeight="1" spans="1:26" x14ac:dyDescent="0.25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ht="13.5" customHeight="1" spans="1:26" x14ac:dyDescent="0.25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ht="13.5" customHeight="1" spans="1:26" x14ac:dyDescent="0.25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ht="13.5" customHeight="1" spans="1:26" x14ac:dyDescent="0.25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ht="13.5" customHeight="1" spans="1:26" x14ac:dyDescent="0.25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ht="13.5" customHeight="1" spans="1:26" x14ac:dyDescent="0.25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ht="13.5" customHeight="1" spans="1:26" x14ac:dyDescent="0.25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ht="13.5" customHeight="1" spans="1:26" x14ac:dyDescent="0.25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ht="13.5" customHeight="1" spans="1:26" x14ac:dyDescent="0.25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ht="13.5" customHeight="1" spans="1:26" x14ac:dyDescent="0.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ht="13.5" customHeight="1" spans="1:26" x14ac:dyDescent="0.25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ht="13.5" customHeight="1" spans="1:26" x14ac:dyDescent="0.25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ht="13.5" customHeight="1" spans="1:26" x14ac:dyDescent="0.25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ht="13.5" customHeight="1" spans="1:26" x14ac:dyDescent="0.25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ht="13.5" customHeight="1" spans="1:26" x14ac:dyDescent="0.25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ht="13.5" customHeight="1" spans="1:26" x14ac:dyDescent="0.25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ht="13.5" customHeight="1" spans="1:26" x14ac:dyDescent="0.25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ht="13.5" customHeight="1" spans="1:26" x14ac:dyDescent="0.25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ht="13.5" customHeight="1" spans="1:26" x14ac:dyDescent="0.25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ht="13.5" customHeight="1" spans="1:26" x14ac:dyDescent="0.2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ht="13.5" customHeight="1" spans="1:26" x14ac:dyDescent="0.25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ht="13.5" customHeight="1" spans="1:26" x14ac:dyDescent="0.25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ht="13.5" customHeight="1" spans="1:26" x14ac:dyDescent="0.25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ht="13.5" customHeight="1" spans="1:26" x14ac:dyDescent="0.25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ht="13.5" customHeight="1" spans="1:26" x14ac:dyDescent="0.25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ht="13.5" customHeight="1" spans="1:26" x14ac:dyDescent="0.25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ht="13.5" customHeight="1" spans="1:26" x14ac:dyDescent="0.25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ht="13.5" customHeight="1" spans="1:26" x14ac:dyDescent="0.25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ht="13.5" customHeight="1" spans="1:26" x14ac:dyDescent="0.25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ht="13.5" customHeight="1" spans="1:26" x14ac:dyDescent="0.2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ht="13.5" customHeight="1" spans="1:26" x14ac:dyDescent="0.25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ht="13.5" customHeight="1" spans="1:26" x14ac:dyDescent="0.25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ht="13.5" customHeight="1" spans="1:26" x14ac:dyDescent="0.25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ht="13.5" customHeight="1" spans="1:26" x14ac:dyDescent="0.25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ht="13.5" customHeight="1" spans="1:26" x14ac:dyDescent="0.25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ht="13.5" customHeight="1" spans="1:26" x14ac:dyDescent="0.25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ht="13.5" customHeight="1" spans="1:26" x14ac:dyDescent="0.25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ht="13.5" customHeight="1" spans="1:26" x14ac:dyDescent="0.25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ht="13.5" customHeight="1" spans="1:26" x14ac:dyDescent="0.25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ht="13.5" customHeight="1" spans="1:26" x14ac:dyDescent="0.2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ht="13.5" customHeight="1" spans="1:26" x14ac:dyDescent="0.25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ht="13.5" customHeight="1" spans="1:26" x14ac:dyDescent="0.25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ht="13.5" customHeight="1" spans="1:26" x14ac:dyDescent="0.25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ht="13.5" customHeight="1" spans="1:26" x14ac:dyDescent="0.25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ht="13.5" customHeight="1" spans="1:26" x14ac:dyDescent="0.25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ht="13.5" customHeight="1" spans="1:26" x14ac:dyDescent="0.25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ht="13.5" customHeight="1" spans="1:26" x14ac:dyDescent="0.25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ht="13.5" customHeight="1" spans="1:26" x14ac:dyDescent="0.25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ht="13.5" customHeight="1" spans="1:26" x14ac:dyDescent="0.25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ht="13.5" customHeight="1" spans="1:26" x14ac:dyDescent="0.2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ht="13.5" customHeight="1" spans="1:26" x14ac:dyDescent="0.25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ht="13.5" customHeight="1" spans="1:26" x14ac:dyDescent="0.25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ht="13.5" customHeight="1" spans="1:26" x14ac:dyDescent="0.25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ht="13.5" customHeight="1" spans="1:26" x14ac:dyDescent="0.25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ht="13.5" customHeight="1" spans="1:26" x14ac:dyDescent="0.25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ht="13.5" customHeight="1" spans="1:26" x14ac:dyDescent="0.25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ht="13.5" customHeight="1" spans="1:26" x14ac:dyDescent="0.25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ht="13.5" customHeight="1" spans="1:26" x14ac:dyDescent="0.25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ht="13.5" customHeight="1" spans="1:26" x14ac:dyDescent="0.25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ht="13.5" customHeight="1" spans="1:26" x14ac:dyDescent="0.2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ht="13.5" customHeight="1" spans="1:26" x14ac:dyDescent="0.25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ht="13.5" customHeight="1" spans="1:26" x14ac:dyDescent="0.25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ht="13.5" customHeight="1" spans="1:26" x14ac:dyDescent="0.25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ht="13.5" customHeight="1" spans="1:26" x14ac:dyDescent="0.25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ht="13.5" customHeight="1" spans="1:26" x14ac:dyDescent="0.25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ht="13.5" customHeight="1" spans="1:26" x14ac:dyDescent="0.25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ht="13.5" customHeight="1" spans="1:26" x14ac:dyDescent="0.25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ht="13.5" customHeight="1" spans="1:26" x14ac:dyDescent="0.25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ht="13.5" customHeight="1" spans="1:26" x14ac:dyDescent="0.25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ht="13.5" customHeight="1" spans="1:26" x14ac:dyDescent="0.2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ht="13.5" customHeight="1" spans="1:26" x14ac:dyDescent="0.25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ht="13.5" customHeight="1" spans="1:26" x14ac:dyDescent="0.25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ht="13.5" customHeight="1" spans="1:26" x14ac:dyDescent="0.25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ht="13.5" customHeight="1" spans="1:26" x14ac:dyDescent="0.25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ht="13.5" customHeight="1" spans="1:26" x14ac:dyDescent="0.25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ht="13.5" customHeight="1" spans="1:26" x14ac:dyDescent="0.25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ht="13.5" customHeight="1" spans="1:26" x14ac:dyDescent="0.25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ht="13.5" customHeight="1" spans="1:26" x14ac:dyDescent="0.25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ht="13.5" customHeight="1" spans="1:26" x14ac:dyDescent="0.25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ht="13.5" customHeight="1" spans="1:26" x14ac:dyDescent="0.2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ht="13.5" customHeight="1" spans="1:26" x14ac:dyDescent="0.25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ht="13.5" customHeight="1" spans="1:26" x14ac:dyDescent="0.25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ht="13.5" customHeight="1" spans="1:26" x14ac:dyDescent="0.25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ht="13.5" customHeight="1" spans="1:26" x14ac:dyDescent="0.25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ht="13.5" customHeight="1" spans="1:26" x14ac:dyDescent="0.25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ht="13.5" customHeight="1" spans="1:26" x14ac:dyDescent="0.25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ht="13.5" customHeight="1" spans="1:26" x14ac:dyDescent="0.25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ht="13.5" customHeight="1" spans="1:26" x14ac:dyDescent="0.25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ht="13.5" customHeight="1" spans="1:26" x14ac:dyDescent="0.25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ht="13.5" customHeight="1" spans="1:26" x14ac:dyDescent="0.2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ht="13.5" customHeight="1" spans="1:26" x14ac:dyDescent="0.25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ht="13.5" customHeight="1" spans="1:26" x14ac:dyDescent="0.25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ht="13.5" customHeight="1" spans="1:26" x14ac:dyDescent="0.25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ht="13.5" customHeight="1" spans="1:26" x14ac:dyDescent="0.25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ht="13.5" customHeight="1" spans="1:26" x14ac:dyDescent="0.25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ht="13.5" customHeight="1" spans="1:26" x14ac:dyDescent="0.25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ht="13.5" customHeight="1" spans="1:26" x14ac:dyDescent="0.25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ht="13.5" customHeight="1" spans="1:26" x14ac:dyDescent="0.25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ht="13.5" customHeight="1" spans="1:26" x14ac:dyDescent="0.25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ht="13.5" customHeight="1" spans="1:26" x14ac:dyDescent="0.2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ht="13.5" customHeight="1" spans="1:26" x14ac:dyDescent="0.25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ht="13.5" customHeight="1" spans="1:26" x14ac:dyDescent="0.25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ht="13.5" customHeight="1" spans="1:26" x14ac:dyDescent="0.25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ht="13.5" customHeight="1" spans="1:26" x14ac:dyDescent="0.25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ht="13.5" customHeight="1" spans="1:26" x14ac:dyDescent="0.25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ht="13.5" customHeight="1" spans="1:26" x14ac:dyDescent="0.25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ht="13.5" customHeight="1" spans="1:26" x14ac:dyDescent="0.25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ht="13.5" customHeight="1" spans="1:26" x14ac:dyDescent="0.25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ht="13.5" customHeight="1" spans="1:26" x14ac:dyDescent="0.25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ht="13.5" customHeight="1" spans="1:26" x14ac:dyDescent="0.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ht="13.5" customHeight="1" spans="1:26" x14ac:dyDescent="0.25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ht="13.5" customHeight="1" spans="1:26" x14ac:dyDescent="0.25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ht="13.5" customHeight="1" spans="1:26" x14ac:dyDescent="0.25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ht="13.5" customHeight="1" spans="1:26" x14ac:dyDescent="0.25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ht="13.5" customHeight="1" spans="1:26" x14ac:dyDescent="0.25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ht="13.5" customHeight="1" spans="1:26" x14ac:dyDescent="0.25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ht="13.5" customHeight="1" spans="1:26" x14ac:dyDescent="0.25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ht="13.5" customHeight="1" spans="1:26" x14ac:dyDescent="0.25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ht="13.5" customHeight="1" spans="1:26" x14ac:dyDescent="0.25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ht="13.5" customHeight="1" spans="1:26" x14ac:dyDescent="0.2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ht="13.5" customHeight="1" spans="1:26" x14ac:dyDescent="0.25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ht="13.5" customHeight="1" spans="1:26" x14ac:dyDescent="0.25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ht="13.5" customHeight="1" spans="1:26" x14ac:dyDescent="0.25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ht="13.5" customHeight="1" spans="1:26" x14ac:dyDescent="0.25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ht="13.5" customHeight="1" spans="1:26" x14ac:dyDescent="0.25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ht="13.5" customHeight="1" spans="1:26" x14ac:dyDescent="0.25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ht="13.5" customHeight="1" spans="1:26" x14ac:dyDescent="0.25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ht="13.5" customHeight="1" spans="1:26" x14ac:dyDescent="0.25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ht="13.5" customHeight="1" spans="1:26" x14ac:dyDescent="0.25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ht="13.5" customHeight="1" spans="1:26" x14ac:dyDescent="0.2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ht="13.5" customHeight="1" spans="1:26" x14ac:dyDescent="0.25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ht="13.5" customHeight="1" spans="1:26" x14ac:dyDescent="0.25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ht="13.5" customHeight="1" spans="1:26" x14ac:dyDescent="0.25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ht="13.5" customHeight="1" spans="1:26" x14ac:dyDescent="0.25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ht="13.5" customHeight="1" spans="1:26" x14ac:dyDescent="0.25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ht="13.5" customHeight="1" spans="1:26" x14ac:dyDescent="0.25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ht="13.5" customHeight="1" spans="1:26" x14ac:dyDescent="0.25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ht="13.5" customHeight="1" spans="1:26" x14ac:dyDescent="0.25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ht="13.5" customHeight="1" spans="1:26" x14ac:dyDescent="0.25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ht="13.5" customHeight="1" spans="1:26" x14ac:dyDescent="0.2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ht="13.5" customHeight="1" spans="1:26" x14ac:dyDescent="0.25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ht="13.5" customHeight="1" spans="1:26" x14ac:dyDescent="0.25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ht="13.5" customHeight="1" spans="1:26" x14ac:dyDescent="0.25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ht="13.5" customHeight="1" spans="1:26" x14ac:dyDescent="0.25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ht="13.5" customHeight="1" spans="1:26" x14ac:dyDescent="0.25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ht="13.5" customHeight="1" spans="1:26" x14ac:dyDescent="0.25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ht="13.5" customHeight="1" spans="1:26" x14ac:dyDescent="0.25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ht="13.5" customHeight="1" spans="1:26" x14ac:dyDescent="0.25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ht="13.5" customHeight="1" spans="1:26" x14ac:dyDescent="0.25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ht="13.5" customHeight="1" spans="1:26" x14ac:dyDescent="0.2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ht="13.5" customHeight="1" spans="1:26" x14ac:dyDescent="0.25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ht="13.5" customHeight="1" spans="1:26" x14ac:dyDescent="0.25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ht="13.5" customHeight="1" spans="1:26" x14ac:dyDescent="0.25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ht="13.5" customHeight="1" spans="1:26" x14ac:dyDescent="0.25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ht="13.5" customHeight="1" spans="1:26" x14ac:dyDescent="0.25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ht="13.5" customHeight="1" spans="1:26" x14ac:dyDescent="0.25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ht="13.5" customHeight="1" spans="1:26" x14ac:dyDescent="0.25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ht="13.5" customHeight="1" spans="1:26" x14ac:dyDescent="0.25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ht="13.5" customHeight="1" spans="1:26" x14ac:dyDescent="0.25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ht="13.5" customHeight="1" spans="1:26" x14ac:dyDescent="0.2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ht="13.5" customHeight="1" spans="1:26" x14ac:dyDescent="0.25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ht="13.5" customHeight="1" spans="1:26" x14ac:dyDescent="0.25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ht="13.5" customHeight="1" spans="1:26" x14ac:dyDescent="0.25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ht="13.5" customHeight="1" spans="1:26" x14ac:dyDescent="0.25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ht="13.5" customHeight="1" spans="1:26" x14ac:dyDescent="0.25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ht="13.5" customHeight="1" spans="1:26" x14ac:dyDescent="0.25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ht="13.5" customHeight="1" spans="1:26" x14ac:dyDescent="0.25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ht="13.5" customHeight="1" spans="1:26" x14ac:dyDescent="0.25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ht="13.5" customHeight="1" spans="1:26" x14ac:dyDescent="0.25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ht="13.5" customHeight="1" spans="1:26" x14ac:dyDescent="0.2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ht="13.5" customHeight="1" spans="1:26" x14ac:dyDescent="0.25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ht="13.5" customHeight="1" spans="1:26" x14ac:dyDescent="0.25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ht="13.5" customHeight="1" spans="1:26" x14ac:dyDescent="0.25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ht="13.5" customHeight="1" spans="1:26" x14ac:dyDescent="0.25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ht="13.5" customHeight="1" spans="1:26" x14ac:dyDescent="0.25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ht="13.5" customHeight="1" spans="1:26" x14ac:dyDescent="0.25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ht="13.5" customHeight="1" spans="1:26" x14ac:dyDescent="0.25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ht="13.5" customHeight="1" spans="1:26" x14ac:dyDescent="0.25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ht="13.5" customHeight="1" spans="1:26" x14ac:dyDescent="0.25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ht="13.5" customHeight="1" spans="1:26" x14ac:dyDescent="0.2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ht="13.5" customHeight="1" spans="1:26" x14ac:dyDescent="0.25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ht="13.5" customHeight="1" spans="1:26" x14ac:dyDescent="0.25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ht="13.5" customHeight="1" spans="1:26" x14ac:dyDescent="0.25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ht="13.5" customHeight="1" spans="1:26" x14ac:dyDescent="0.25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ht="13.5" customHeight="1" spans="1:26" x14ac:dyDescent="0.25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ht="13.5" customHeight="1" spans="1:26" x14ac:dyDescent="0.25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ht="13.5" customHeight="1" spans="1:26" x14ac:dyDescent="0.25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13.5" customHeight="1" spans="1:26" x14ac:dyDescent="0.25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13.5" customHeight="1" spans="1:26" x14ac:dyDescent="0.25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ht="13.5" customHeight="1" spans="1:26" x14ac:dyDescent="0.2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ht="13.5" customHeight="1" spans="1:26" x14ac:dyDescent="0.25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13.5" customHeight="1" spans="1:26" x14ac:dyDescent="0.25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13.5" customHeight="1" spans="1:26" x14ac:dyDescent="0.25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ht="13.5" customHeight="1" spans="1:26" x14ac:dyDescent="0.25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ht="13.5" customHeight="1" spans="1:26" x14ac:dyDescent="0.25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ht="13.5" customHeight="1" spans="1:26" x14ac:dyDescent="0.25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ht="13.5" customHeight="1" spans="1:26" x14ac:dyDescent="0.25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ht="13.5" customHeight="1" spans="1:26" x14ac:dyDescent="0.25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ht="13.5" customHeight="1" spans="1:26" x14ac:dyDescent="0.25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ht="13.5" customHeight="1" spans="1:26" x14ac:dyDescent="0.2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ht="13.5" customHeight="1" spans="1:26" x14ac:dyDescent="0.25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ht="13.5" customHeight="1" spans="1:26" x14ac:dyDescent="0.25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ht="13.5" customHeight="1" spans="1:26" x14ac:dyDescent="0.25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ht="13.5" customHeight="1" spans="1:26" x14ac:dyDescent="0.25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ht="13.5" customHeight="1" spans="1:26" x14ac:dyDescent="0.25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ht="13.5" customHeight="1" spans="1:26" x14ac:dyDescent="0.25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ht="13.5" customHeight="1" spans="1:26" x14ac:dyDescent="0.25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ht="13.5" customHeight="1" spans="1:26" x14ac:dyDescent="0.25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ht="13.5" customHeight="1" spans="1:26" x14ac:dyDescent="0.25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ht="13.5" customHeight="1" spans="1:26" x14ac:dyDescent="0.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ht="13.5" customHeight="1" spans="1:26" x14ac:dyDescent="0.25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ht="13.5" customHeight="1" spans="1:26" x14ac:dyDescent="0.25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ht="13.5" customHeight="1" spans="1:26" x14ac:dyDescent="0.25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ht="13.5" customHeight="1" spans="1:26" x14ac:dyDescent="0.25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ht="13.5" customHeight="1" spans="1:26" x14ac:dyDescent="0.25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ht="13.5" customHeight="1" spans="1:26" x14ac:dyDescent="0.25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ht="13.5" customHeight="1" spans="1:26" x14ac:dyDescent="0.25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ht="13.5" customHeight="1" spans="1:26" x14ac:dyDescent="0.25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ht="13.5" customHeight="1" spans="1:26" x14ac:dyDescent="0.25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ht="13.5" customHeight="1" spans="1:26" x14ac:dyDescent="0.2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ht="13.5" customHeight="1" spans="1:26" x14ac:dyDescent="0.25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ht="13.5" customHeight="1" spans="1:26" x14ac:dyDescent="0.25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ht="13.5" customHeight="1" spans="1:26" x14ac:dyDescent="0.25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ht="13.5" customHeight="1" spans="1:26" x14ac:dyDescent="0.25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ht="13.5" customHeight="1" spans="1:26" x14ac:dyDescent="0.25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ht="13.5" customHeight="1" spans="1:26" x14ac:dyDescent="0.25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ht="13.5" customHeight="1" spans="1:26" x14ac:dyDescent="0.25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ht="13.5" customHeight="1" spans="1:26" x14ac:dyDescent="0.25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ht="13.5" customHeight="1" spans="1:26" x14ac:dyDescent="0.25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ht="13.5" customHeight="1" spans="1:26" x14ac:dyDescent="0.2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ht="13.5" customHeight="1" spans="1:26" x14ac:dyDescent="0.25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ht="13.5" customHeight="1" spans="1:26" x14ac:dyDescent="0.25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ht="13.5" customHeight="1" spans="1:26" x14ac:dyDescent="0.25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ht="13.5" customHeight="1" spans="1:26" x14ac:dyDescent="0.25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ht="13.5" customHeight="1" spans="1:26" x14ac:dyDescent="0.25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ht="13.5" customHeight="1" spans="1:26" x14ac:dyDescent="0.25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ht="13.5" customHeight="1" spans="1:26" x14ac:dyDescent="0.25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ht="13.5" customHeight="1" spans="1:26" x14ac:dyDescent="0.25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ht="13.5" customHeight="1" spans="1:26" x14ac:dyDescent="0.25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ht="13.5" customHeight="1" spans="1:26" x14ac:dyDescent="0.2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ht="13.5" customHeight="1" spans="1:26" x14ac:dyDescent="0.25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ht="13.5" customHeight="1" spans="1:26" x14ac:dyDescent="0.25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ht="13.5" customHeight="1" spans="1:26" x14ac:dyDescent="0.25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ht="13.5" customHeight="1" spans="1:26" x14ac:dyDescent="0.25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ht="13.5" customHeight="1" spans="1:26" x14ac:dyDescent="0.25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ht="13.5" customHeight="1" spans="1:26" x14ac:dyDescent="0.25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ht="13.5" customHeight="1" spans="1:26" x14ac:dyDescent="0.25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ht="13.5" customHeight="1" spans="1:26" x14ac:dyDescent="0.25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ht="13.5" customHeight="1" spans="1:26" x14ac:dyDescent="0.25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ht="13.5" customHeight="1" spans="1:26" x14ac:dyDescent="0.2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ht="13.5" customHeight="1" spans="1:26" x14ac:dyDescent="0.25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ht="13.5" customHeight="1" spans="1:26" x14ac:dyDescent="0.25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ht="13.5" customHeight="1" spans="1:26" x14ac:dyDescent="0.25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ht="13.5" customHeight="1" spans="1:26" x14ac:dyDescent="0.25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ht="13.5" customHeight="1" spans="1:26" x14ac:dyDescent="0.25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ht="13.5" customHeight="1" spans="1:26" x14ac:dyDescent="0.25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ht="13.5" customHeight="1" spans="1:26" x14ac:dyDescent="0.25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ht="13.5" customHeight="1" spans="1:26" x14ac:dyDescent="0.25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ht="13.5" customHeight="1" spans="1:26" x14ac:dyDescent="0.25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ht="13.5" customHeight="1" spans="1:26" x14ac:dyDescent="0.2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ht="13.5" customHeight="1" spans="1:26" x14ac:dyDescent="0.25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ht="13.5" customHeight="1" spans="1:26" x14ac:dyDescent="0.25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ht="13.5" customHeight="1" spans="1:26" x14ac:dyDescent="0.25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ht="13.5" customHeight="1" spans="1:26" x14ac:dyDescent="0.25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ht="13.5" customHeight="1" spans="1:26" x14ac:dyDescent="0.25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ht="13.5" customHeight="1" spans="1:26" x14ac:dyDescent="0.25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ht="13.5" customHeight="1" spans="1:26" x14ac:dyDescent="0.25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ht="13.5" customHeight="1" spans="1:26" x14ac:dyDescent="0.25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ht="13.5" customHeight="1" spans="1:26" x14ac:dyDescent="0.25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ht="13.5" customHeight="1" spans="1:26" x14ac:dyDescent="0.2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ht="13.5" customHeight="1" spans="1:26" x14ac:dyDescent="0.25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ht="13.5" customHeight="1" spans="1:26" x14ac:dyDescent="0.25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ht="13.5" customHeight="1" spans="1:26" x14ac:dyDescent="0.25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ht="13.5" customHeight="1" spans="1:26" x14ac:dyDescent="0.25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ht="13.5" customHeight="1" spans="1:26" x14ac:dyDescent="0.25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ht="13.5" customHeight="1" spans="1:26" x14ac:dyDescent="0.25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ht="13.5" customHeight="1" spans="1:26" x14ac:dyDescent="0.25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ht="13.5" customHeight="1" spans="1:26" x14ac:dyDescent="0.25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ht="13.5" customHeight="1" spans="1:26" x14ac:dyDescent="0.25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ht="13.5" customHeight="1" spans="1:26" x14ac:dyDescent="0.2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ht="13.5" customHeight="1" spans="1:26" x14ac:dyDescent="0.25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ht="13.5" customHeight="1" spans="1:26" x14ac:dyDescent="0.25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ht="13.5" customHeight="1" spans="1:26" x14ac:dyDescent="0.25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ht="13.5" customHeight="1" spans="1:26" x14ac:dyDescent="0.25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ht="13.5" customHeight="1" spans="1:26" x14ac:dyDescent="0.25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ht="13.5" customHeight="1" spans="1:26" x14ac:dyDescent="0.25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ht="13.5" customHeight="1" spans="1:26" x14ac:dyDescent="0.25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ht="13.5" customHeight="1" spans="1:26" x14ac:dyDescent="0.25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ht="13.5" customHeight="1" spans="1:26" x14ac:dyDescent="0.25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ht="13.5" customHeight="1" spans="1:26" x14ac:dyDescent="0.2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ht="13.5" customHeight="1" spans="1:26" x14ac:dyDescent="0.25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ht="13.5" customHeight="1" spans="1:26" x14ac:dyDescent="0.25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ht="13.5" customHeight="1" spans="1:26" x14ac:dyDescent="0.25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ht="13.5" customHeight="1" spans="1:26" x14ac:dyDescent="0.25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ht="13.5" customHeight="1" spans="1:26" x14ac:dyDescent="0.25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ht="13.5" customHeight="1" spans="1:26" x14ac:dyDescent="0.25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ht="13.5" customHeight="1" spans="1:26" x14ac:dyDescent="0.25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ht="13.5" customHeight="1" spans="1:26" x14ac:dyDescent="0.25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ht="13.5" customHeight="1" spans="1:26" x14ac:dyDescent="0.25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ht="13.5" customHeight="1" spans="1:26" x14ac:dyDescent="0.2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ht="13.5" customHeight="1" spans="1:26" x14ac:dyDescent="0.25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ht="13.5" customHeight="1" spans="1:26" x14ac:dyDescent="0.25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ht="13.5" customHeight="1" spans="1:26" x14ac:dyDescent="0.25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ht="13.5" customHeight="1" spans="1:26" x14ac:dyDescent="0.25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ht="13.5" customHeight="1" spans="1:26" x14ac:dyDescent="0.25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ht="13.5" customHeight="1" spans="1:26" x14ac:dyDescent="0.25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ht="13.5" customHeight="1" spans="1:26" x14ac:dyDescent="0.25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ht="13.5" customHeight="1" spans="1:26" x14ac:dyDescent="0.25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ht="13.5" customHeight="1" spans="1:26" x14ac:dyDescent="0.25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ht="13.5" customHeight="1" spans="1:26" x14ac:dyDescent="0.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ht="13.5" customHeight="1" spans="1:26" x14ac:dyDescent="0.25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ht="13.5" customHeight="1" spans="1:26" x14ac:dyDescent="0.25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ht="13.5" customHeight="1" spans="1:26" x14ac:dyDescent="0.25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ht="13.5" customHeight="1" spans="1:26" x14ac:dyDescent="0.25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ht="13.5" customHeight="1" spans="1:26" x14ac:dyDescent="0.25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ht="13.5" customHeight="1" spans="1:26" x14ac:dyDescent="0.25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ht="13.5" customHeight="1" spans="1:26" x14ac:dyDescent="0.25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ht="13.5" customHeight="1" spans="1:26" x14ac:dyDescent="0.25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ht="13.5" customHeight="1" spans="1:26" x14ac:dyDescent="0.25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ht="13.5" customHeight="1" spans="1:26" x14ac:dyDescent="0.2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ht="13.5" customHeight="1" spans="1:26" x14ac:dyDescent="0.25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ht="13.5" customHeight="1" spans="1:26" x14ac:dyDescent="0.25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ht="13.5" customHeight="1" spans="1:26" x14ac:dyDescent="0.25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ht="13.5" customHeight="1" spans="1:26" x14ac:dyDescent="0.25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ht="13.5" customHeight="1" spans="1:26" x14ac:dyDescent="0.25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ht="13.5" customHeight="1" spans="1:26" x14ac:dyDescent="0.25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ht="13.5" customHeight="1" spans="1:26" x14ac:dyDescent="0.25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ht="13.5" customHeight="1" spans="1:26" x14ac:dyDescent="0.25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ht="13.5" customHeight="1" spans="1:26" x14ac:dyDescent="0.25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ht="13.5" customHeight="1" spans="1:26" x14ac:dyDescent="0.2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ht="13.5" customHeight="1" spans="1:26" x14ac:dyDescent="0.25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ht="13.5" customHeight="1" spans="1:26" x14ac:dyDescent="0.25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ht="13.5" customHeight="1" spans="1:26" x14ac:dyDescent="0.25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ht="13.5" customHeight="1" spans="1:26" x14ac:dyDescent="0.25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ht="13.5" customHeight="1" spans="1:26" x14ac:dyDescent="0.25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ht="13.5" customHeight="1" spans="1:26" x14ac:dyDescent="0.25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ht="13.5" customHeight="1" spans="1:26" x14ac:dyDescent="0.25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ht="13.5" customHeight="1" spans="1:26" x14ac:dyDescent="0.25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ht="13.5" customHeight="1" spans="1:26" x14ac:dyDescent="0.25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ht="13.5" customHeight="1" spans="1:26" x14ac:dyDescent="0.2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ht="13.5" customHeight="1" spans="1:26" x14ac:dyDescent="0.25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ht="13.5" customHeight="1" spans="1:26" x14ac:dyDescent="0.25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ht="13.5" customHeight="1" spans="1:26" x14ac:dyDescent="0.25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ht="13.5" customHeight="1" spans="1:26" x14ac:dyDescent="0.25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ht="13.5" customHeight="1" spans="1:26" x14ac:dyDescent="0.25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ht="13.5" customHeight="1" spans="1:26" x14ac:dyDescent="0.25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ht="13.5" customHeight="1" spans="1:26" x14ac:dyDescent="0.25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ht="13.5" customHeight="1" spans="1:26" x14ac:dyDescent="0.25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ht="13.5" customHeight="1" spans="1:26" x14ac:dyDescent="0.25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ht="13.5" customHeight="1" spans="1:26" x14ac:dyDescent="0.2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ht="13.5" customHeight="1" spans="1:26" x14ac:dyDescent="0.25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ht="13.5" customHeight="1" spans="1:26" x14ac:dyDescent="0.25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ht="13.5" customHeight="1" spans="1:26" x14ac:dyDescent="0.25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ht="13.5" customHeight="1" spans="1:26" x14ac:dyDescent="0.25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ht="13.5" customHeight="1" spans="1:26" x14ac:dyDescent="0.25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ht="13.5" customHeight="1" spans="1:26" x14ac:dyDescent="0.25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ht="13.5" customHeight="1" spans="1:26" x14ac:dyDescent="0.25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ht="13.5" customHeight="1" spans="1:26" x14ac:dyDescent="0.25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ht="13.5" customHeight="1" spans="1:26" x14ac:dyDescent="0.25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ht="13.5" customHeight="1" spans="1:26" x14ac:dyDescent="0.2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ht="13.5" customHeight="1" spans="1:26" x14ac:dyDescent="0.25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ht="13.5" customHeight="1" spans="1:26" x14ac:dyDescent="0.25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ht="13.5" customHeight="1" spans="1:26" x14ac:dyDescent="0.25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ht="13.5" customHeight="1" spans="1:26" x14ac:dyDescent="0.25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ht="13.5" customHeight="1" spans="1:26" x14ac:dyDescent="0.25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ht="13.5" customHeight="1" spans="1:26" x14ac:dyDescent="0.25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ht="13.5" customHeight="1" spans="1:26" x14ac:dyDescent="0.25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ht="13.5" customHeight="1" spans="1:26" x14ac:dyDescent="0.25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ht="13.5" customHeight="1" spans="1:26" x14ac:dyDescent="0.25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ht="13.5" customHeight="1" spans="1:26" x14ac:dyDescent="0.2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ht="13.5" customHeight="1" spans="1:26" x14ac:dyDescent="0.25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ht="13.5" customHeight="1" spans="1:26" x14ac:dyDescent="0.25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ht="13.5" customHeight="1" spans="1:26" x14ac:dyDescent="0.25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ht="13.5" customHeight="1" spans="1:26" x14ac:dyDescent="0.25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ht="13.5" customHeight="1" spans="1:26" x14ac:dyDescent="0.25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ht="13.5" customHeight="1" spans="1:26" x14ac:dyDescent="0.25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ht="13.5" customHeight="1" spans="1:26" x14ac:dyDescent="0.25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ht="13.5" customHeight="1" spans="1:26" x14ac:dyDescent="0.25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ht="13.5" customHeight="1" spans="1:26" x14ac:dyDescent="0.25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ht="13.5" customHeight="1" spans="1:26" x14ac:dyDescent="0.2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ht="13.5" customHeight="1" spans="1:26" x14ac:dyDescent="0.25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ht="13.5" customHeight="1" spans="1:26" x14ac:dyDescent="0.25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ht="13.5" customHeight="1" spans="1:26" x14ac:dyDescent="0.25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ht="13.5" customHeight="1" spans="1:26" x14ac:dyDescent="0.25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ht="13.5" customHeight="1" spans="1:26" x14ac:dyDescent="0.25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ht="13.5" customHeight="1" spans="1:26" x14ac:dyDescent="0.25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ht="13.5" customHeight="1" spans="1:26" x14ac:dyDescent="0.25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ht="13.5" customHeight="1" spans="1:26" x14ac:dyDescent="0.25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ht="13.5" customHeight="1" spans="1:26" x14ac:dyDescent="0.25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ht="13.5" customHeight="1" spans="1:26" x14ac:dyDescent="0.2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ht="13.5" customHeight="1" spans="1:26" x14ac:dyDescent="0.25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ht="13.5" customHeight="1" spans="1:26" x14ac:dyDescent="0.25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ht="13.5" customHeight="1" spans="1:26" x14ac:dyDescent="0.25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ht="13.5" customHeight="1" spans="1:26" x14ac:dyDescent="0.25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ht="13.5" customHeight="1" spans="1:26" x14ac:dyDescent="0.25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ht="13.5" customHeight="1" spans="1:26" x14ac:dyDescent="0.25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ht="13.5" customHeight="1" spans="1:26" x14ac:dyDescent="0.25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ht="13.5" customHeight="1" spans="1:26" x14ac:dyDescent="0.25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ht="13.5" customHeight="1" spans="1:26" x14ac:dyDescent="0.25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ht="13.5" customHeight="1" spans="1:26" x14ac:dyDescent="0.2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ht="13.5" customHeight="1" spans="1:26" x14ac:dyDescent="0.25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ht="13.5" customHeight="1" spans="1:26" x14ac:dyDescent="0.25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ht="13.5" customHeight="1" spans="1:26" x14ac:dyDescent="0.25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ht="13.5" customHeight="1" spans="1:26" x14ac:dyDescent="0.25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ht="13.5" customHeight="1" spans="1:26" x14ac:dyDescent="0.25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ht="13.5" customHeight="1" spans="1:26" x14ac:dyDescent="0.25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ht="13.5" customHeight="1" spans="1:26" x14ac:dyDescent="0.25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ht="13.5" customHeight="1" spans="1:26" x14ac:dyDescent="0.25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ht="13.5" customHeight="1" spans="1:26" x14ac:dyDescent="0.25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ht="13.5" customHeight="1" spans="1:26" x14ac:dyDescent="0.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ht="13.5" customHeight="1" spans="1:26" x14ac:dyDescent="0.25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ht="13.5" customHeight="1" spans="1:26" x14ac:dyDescent="0.25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ht="13.5" customHeight="1" spans="1:26" x14ac:dyDescent="0.25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ht="13.5" customHeight="1" spans="1:26" x14ac:dyDescent="0.25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ht="13.5" customHeight="1" spans="1:26" x14ac:dyDescent="0.25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ht="13.5" customHeight="1" spans="1:26" x14ac:dyDescent="0.25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ht="13.5" customHeight="1" spans="1:26" x14ac:dyDescent="0.25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ht="13.5" customHeight="1" spans="1:26" x14ac:dyDescent="0.25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ht="13.5" customHeight="1" spans="1:26" x14ac:dyDescent="0.25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ht="13.5" customHeight="1" spans="1:26" x14ac:dyDescent="0.2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ht="13.5" customHeight="1" spans="1:26" x14ac:dyDescent="0.25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ht="13.5" customHeight="1" spans="1:26" x14ac:dyDescent="0.25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ht="13.5" customHeight="1" spans="1:26" x14ac:dyDescent="0.25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ht="13.5" customHeight="1" spans="1:26" x14ac:dyDescent="0.25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ht="13.5" customHeight="1" spans="1:26" x14ac:dyDescent="0.25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ht="13.5" customHeight="1" spans="1:26" x14ac:dyDescent="0.25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ht="13.5" customHeight="1" spans="1:26" x14ac:dyDescent="0.25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ht="13.5" customHeight="1" spans="1:26" x14ac:dyDescent="0.25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ht="13.5" customHeight="1" spans="1:26" x14ac:dyDescent="0.25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ht="13.5" customHeight="1" spans="1:26" x14ac:dyDescent="0.2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ht="13.5" customHeight="1" spans="1:26" x14ac:dyDescent="0.25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ht="13.5" customHeight="1" spans="1:26" x14ac:dyDescent="0.25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ht="13.5" customHeight="1" spans="1:26" x14ac:dyDescent="0.25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ht="13.5" customHeight="1" spans="1:26" x14ac:dyDescent="0.25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ht="13.5" customHeight="1" spans="1:26" x14ac:dyDescent="0.25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ht="13.5" customHeight="1" spans="1:26" x14ac:dyDescent="0.25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ht="13.5" customHeight="1" spans="1:26" x14ac:dyDescent="0.25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ht="13.5" customHeight="1" spans="1:26" x14ac:dyDescent="0.25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ht="13.5" customHeight="1" spans="1:26" x14ac:dyDescent="0.25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ht="13.5" customHeight="1" spans="1:26" x14ac:dyDescent="0.2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ht="13.5" customHeight="1" spans="1:26" x14ac:dyDescent="0.25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ht="13.5" customHeight="1" spans="1:26" x14ac:dyDescent="0.25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ht="13.5" customHeight="1" spans="1:26" x14ac:dyDescent="0.25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ht="13.5" customHeight="1" spans="1:26" x14ac:dyDescent="0.25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ht="13.5" customHeight="1" spans="1:26" x14ac:dyDescent="0.25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ht="13.5" customHeight="1" spans="1:26" x14ac:dyDescent="0.25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ht="13.5" customHeight="1" spans="1:26" x14ac:dyDescent="0.25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ht="13.5" customHeight="1" spans="1:26" x14ac:dyDescent="0.25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ht="13.5" customHeight="1" spans="1:26" x14ac:dyDescent="0.25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ht="13.5" customHeight="1" spans="1:26" x14ac:dyDescent="0.2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ht="13.5" customHeight="1" spans="1:26" x14ac:dyDescent="0.25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ht="13.5" customHeight="1" spans="1:26" x14ac:dyDescent="0.25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ht="13.5" customHeight="1" spans="1:26" x14ac:dyDescent="0.25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ht="13.5" customHeight="1" spans="1:26" x14ac:dyDescent="0.25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ht="13.5" customHeight="1" spans="1:26" x14ac:dyDescent="0.25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ht="13.5" customHeight="1" spans="1:26" x14ac:dyDescent="0.25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ht="13.5" customHeight="1" spans="1:26" x14ac:dyDescent="0.25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ht="13.5" customHeight="1" spans="1:26" x14ac:dyDescent="0.25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ht="13.5" customHeight="1" spans="1:26" x14ac:dyDescent="0.25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ht="13.5" customHeight="1" spans="1:26" x14ac:dyDescent="0.2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ht="13.5" customHeight="1" spans="1:26" x14ac:dyDescent="0.25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ht="13.5" customHeight="1" spans="1:26" x14ac:dyDescent="0.25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ht="13.5" customHeight="1" spans="1:26" x14ac:dyDescent="0.25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ht="13.5" customHeight="1" spans="1:26" x14ac:dyDescent="0.25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ht="13.5" customHeight="1" spans="1:26" x14ac:dyDescent="0.25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ht="13.5" customHeight="1" spans="1:26" x14ac:dyDescent="0.25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ht="13.5" customHeight="1" spans="1:26" x14ac:dyDescent="0.25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ht="13.5" customHeight="1" spans="1:26" x14ac:dyDescent="0.25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ht="13.5" customHeight="1" spans="1:26" x14ac:dyDescent="0.25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ht="13.5" customHeight="1" spans="1:26" x14ac:dyDescent="0.2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ht="13.5" customHeight="1" spans="1:26" x14ac:dyDescent="0.25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ht="13.5" customHeight="1" spans="1:26" x14ac:dyDescent="0.25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ht="13.5" customHeight="1" spans="1:26" x14ac:dyDescent="0.25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ht="13.5" customHeight="1" spans="1:26" x14ac:dyDescent="0.25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ht="13.5" customHeight="1" spans="1:26" x14ac:dyDescent="0.25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ht="13.5" customHeight="1" spans="1:26" x14ac:dyDescent="0.25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ht="13.5" customHeight="1" spans="1:26" x14ac:dyDescent="0.25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ht="13.5" customHeight="1" spans="1:26" x14ac:dyDescent="0.25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ht="13.5" customHeight="1" spans="1:26" x14ac:dyDescent="0.25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ht="13.5" customHeight="1" spans="1:26" x14ac:dyDescent="0.2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ht="13.5" customHeight="1" spans="1:26" x14ac:dyDescent="0.25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ht="13.5" customHeight="1" spans="1:26" x14ac:dyDescent="0.25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ht="13.5" customHeight="1" spans="1:26" x14ac:dyDescent="0.25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ht="13.5" customHeight="1" spans="1:26" x14ac:dyDescent="0.25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ht="13.5" customHeight="1" spans="1:26" x14ac:dyDescent="0.25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ht="13.5" customHeight="1" spans="1:26" x14ac:dyDescent="0.25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ht="13.5" customHeight="1" spans="1:26" x14ac:dyDescent="0.25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ht="13.5" customHeight="1" spans="1:26" x14ac:dyDescent="0.25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ht="13.5" customHeight="1" spans="1:26" x14ac:dyDescent="0.25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ht="13.5" customHeight="1" spans="1:26" x14ac:dyDescent="0.2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ht="13.5" customHeight="1" spans="1:26" x14ac:dyDescent="0.25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ht="13.5" customHeight="1" spans="1:26" x14ac:dyDescent="0.25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ht="13.5" customHeight="1" spans="1:26" x14ac:dyDescent="0.25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ht="13.5" customHeight="1" spans="1:26" x14ac:dyDescent="0.25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ht="13.5" customHeight="1" spans="1:26" x14ac:dyDescent="0.25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ht="13.5" customHeight="1" spans="1:26" x14ac:dyDescent="0.25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ht="13.5" customHeight="1" spans="1:26" x14ac:dyDescent="0.25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ht="13.5" customHeight="1" spans="1:26" x14ac:dyDescent="0.25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ht="13.5" customHeight="1" spans="1:26" x14ac:dyDescent="0.25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ht="13.5" customHeight="1" spans="1:26" x14ac:dyDescent="0.2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ht="13.5" customHeight="1" spans="1:26" x14ac:dyDescent="0.25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ht="13.5" customHeight="1" spans="1:26" x14ac:dyDescent="0.25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ht="13.5" customHeight="1" spans="1:26" x14ac:dyDescent="0.25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ht="13.5" customHeight="1" spans="1:26" x14ac:dyDescent="0.25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ht="13.5" customHeight="1" spans="1:26" x14ac:dyDescent="0.25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ht="13.5" customHeight="1" spans="1:26" x14ac:dyDescent="0.25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ht="13.5" customHeight="1" spans="1:26" x14ac:dyDescent="0.25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ht="13.5" customHeight="1" spans="1:26" x14ac:dyDescent="0.25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ht="13.5" customHeight="1" spans="1:26" x14ac:dyDescent="0.25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ht="13.5" customHeight="1" spans="1:26" x14ac:dyDescent="0.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ht="13.5" customHeight="1" spans="1:26" x14ac:dyDescent="0.25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ht="13.5" customHeight="1" spans="1:26" x14ac:dyDescent="0.25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ht="13.5" customHeight="1" spans="1:26" x14ac:dyDescent="0.25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ht="13.5" customHeight="1" spans="1:26" x14ac:dyDescent="0.25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ht="13.5" customHeight="1" spans="1:26" x14ac:dyDescent="0.25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ht="13.5" customHeight="1" spans="1:26" x14ac:dyDescent="0.25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ht="13.5" customHeight="1" spans="1:26" x14ac:dyDescent="0.25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ht="13.5" customHeight="1" spans="1:26" x14ac:dyDescent="0.25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ht="13.5" customHeight="1" spans="1:26" x14ac:dyDescent="0.25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ht="13.5" customHeight="1" spans="1:26" x14ac:dyDescent="0.2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ht="13.5" customHeight="1" spans="1:26" x14ac:dyDescent="0.25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ht="13.5" customHeight="1" spans="1:26" x14ac:dyDescent="0.25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ht="13.5" customHeight="1" spans="1:26" x14ac:dyDescent="0.25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ht="13.5" customHeight="1" spans="1:26" x14ac:dyDescent="0.25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ht="13.5" customHeight="1" spans="1:26" x14ac:dyDescent="0.25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ht="13.5" customHeight="1" spans="1:26" x14ac:dyDescent="0.25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ht="13.5" customHeight="1" spans="1:26" x14ac:dyDescent="0.25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ht="13.5" customHeight="1" spans="1:26" x14ac:dyDescent="0.25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ht="13.5" customHeight="1" spans="1:26" x14ac:dyDescent="0.25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ht="13.5" customHeight="1" spans="1:26" x14ac:dyDescent="0.2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ht="13.5" customHeight="1" spans="1:26" x14ac:dyDescent="0.25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ht="13.5" customHeight="1" spans="1:26" x14ac:dyDescent="0.25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ht="13.5" customHeight="1" spans="1:26" x14ac:dyDescent="0.25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ht="13.5" customHeight="1" spans="1:26" x14ac:dyDescent="0.25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ht="13.5" customHeight="1" spans="1:26" x14ac:dyDescent="0.25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ht="13.5" customHeight="1" spans="1:26" x14ac:dyDescent="0.25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ht="13.5" customHeight="1" spans="1:26" x14ac:dyDescent="0.25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ht="13.5" customHeight="1" spans="1:26" x14ac:dyDescent="0.25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ht="13.5" customHeight="1" spans="1:26" x14ac:dyDescent="0.25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ht="13.5" customHeight="1" spans="1:26" x14ac:dyDescent="0.2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ht="13.5" customHeight="1" spans="1:26" x14ac:dyDescent="0.25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ht="13.5" customHeight="1" spans="1:26" x14ac:dyDescent="0.25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ht="13.5" customHeight="1" spans="1:26" x14ac:dyDescent="0.25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ht="13.5" customHeight="1" spans="1:26" x14ac:dyDescent="0.25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ht="13.5" customHeight="1" spans="1:26" x14ac:dyDescent="0.25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ht="13.5" customHeight="1" spans="1:26" x14ac:dyDescent="0.25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ht="13.5" customHeight="1" spans="1:26" x14ac:dyDescent="0.25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ht="13.5" customHeight="1" spans="1:26" x14ac:dyDescent="0.25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ht="13.5" customHeight="1" spans="1:26" x14ac:dyDescent="0.25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ht="13.5" customHeight="1" spans="1:26" x14ac:dyDescent="0.2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ht="13.5" customHeight="1" spans="1:26" x14ac:dyDescent="0.25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ht="13.5" customHeight="1" spans="1:26" x14ac:dyDescent="0.25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ht="13.5" customHeight="1" spans="1:26" x14ac:dyDescent="0.25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ht="13.5" customHeight="1" spans="1:26" x14ac:dyDescent="0.25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ht="13.5" customHeight="1" spans="1:26" x14ac:dyDescent="0.25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ht="13.5" customHeight="1" spans="1:26" x14ac:dyDescent="0.25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ht="13.5" customHeight="1" spans="1:26" x14ac:dyDescent="0.25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ht="13.5" customHeight="1" spans="1:26" x14ac:dyDescent="0.25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ht="13.5" customHeight="1" spans="1:26" x14ac:dyDescent="0.25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ht="13.5" customHeight="1" spans="1:26" x14ac:dyDescent="0.2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ht="13.5" customHeight="1" spans="1:26" x14ac:dyDescent="0.25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ht="13.5" customHeight="1" spans="1:26" x14ac:dyDescent="0.25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ht="13.5" customHeight="1" spans="1:26" x14ac:dyDescent="0.25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ht="13.5" customHeight="1" spans="1:26" x14ac:dyDescent="0.25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ht="13.5" customHeight="1" spans="1:26" x14ac:dyDescent="0.25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ht="13.5" customHeight="1" spans="1:26" x14ac:dyDescent="0.25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ht="13.5" customHeight="1" spans="1:26" x14ac:dyDescent="0.25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ht="13.5" customHeight="1" spans="1:26" x14ac:dyDescent="0.25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ht="13.5" customHeight="1" spans="1:26" x14ac:dyDescent="0.25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ht="13.5" customHeight="1" spans="1:26" x14ac:dyDescent="0.2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ht="13.5" customHeight="1" spans="1:26" x14ac:dyDescent="0.25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ht="13.5" customHeight="1" spans="1:26" x14ac:dyDescent="0.25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ht="13.5" customHeight="1" spans="1:26" x14ac:dyDescent="0.25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ht="13.5" customHeight="1" spans="1:26" x14ac:dyDescent="0.25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ht="13.5" customHeight="1" spans="1:26" x14ac:dyDescent="0.25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ht="13.5" customHeight="1" spans="1:26" x14ac:dyDescent="0.25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ht="13.5" customHeight="1" spans="1:26" x14ac:dyDescent="0.25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ht="13.5" customHeight="1" spans="1:26" x14ac:dyDescent="0.25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ht="13.5" customHeight="1" spans="1:26" x14ac:dyDescent="0.25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ht="13.5" customHeight="1" spans="1:26" x14ac:dyDescent="0.2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ht="13.5" customHeight="1" spans="1:26" x14ac:dyDescent="0.25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ht="13.5" customHeight="1" spans="1:26" x14ac:dyDescent="0.25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ht="13.5" customHeight="1" spans="1:26" x14ac:dyDescent="0.25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ht="13.5" customHeight="1" spans="1:26" x14ac:dyDescent="0.25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ht="13.5" customHeight="1" spans="1:26" x14ac:dyDescent="0.25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ht="13.5" customHeight="1" spans="1:26" x14ac:dyDescent="0.25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ht="13.5" customHeight="1" spans="1:26" x14ac:dyDescent="0.25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ht="13.5" customHeight="1" spans="1:26" x14ac:dyDescent="0.25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ht="13.5" customHeight="1" spans="1:26" x14ac:dyDescent="0.25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ht="13.5" customHeight="1" spans="1:26" x14ac:dyDescent="0.2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ht="13.5" customHeight="1" spans="1:26" x14ac:dyDescent="0.25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ht="13.5" customHeight="1" spans="1:26" x14ac:dyDescent="0.25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ht="13.5" customHeight="1" spans="1:26" x14ac:dyDescent="0.25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ht="13.5" customHeight="1" spans="1:26" x14ac:dyDescent="0.25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ht="13.5" customHeight="1" spans="1:26" x14ac:dyDescent="0.25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ht="13.5" customHeight="1" spans="1:26" x14ac:dyDescent="0.25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ht="13.5" customHeight="1" spans="1:26" x14ac:dyDescent="0.25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ht="13.5" customHeight="1" spans="1:26" x14ac:dyDescent="0.25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ht="13.5" customHeight="1" spans="1:26" x14ac:dyDescent="0.25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ht="13.5" customHeight="1" spans="1:26" x14ac:dyDescent="0.2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ht="13.5" customHeight="1" spans="1:26" x14ac:dyDescent="0.25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ht="13.5" customHeight="1" spans="1:26" x14ac:dyDescent="0.25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ht="13.5" customHeight="1" spans="1:26" x14ac:dyDescent="0.25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ht="13.5" customHeight="1" spans="1:26" x14ac:dyDescent="0.25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ht="13.5" customHeight="1" spans="1:26" x14ac:dyDescent="0.25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ht="13.5" customHeight="1" spans="1:26" x14ac:dyDescent="0.25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ht="13.5" customHeight="1" spans="1:26" x14ac:dyDescent="0.25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ht="13.5" customHeight="1" spans="1:26" x14ac:dyDescent="0.25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ht="13.5" customHeight="1" spans="1:26" x14ac:dyDescent="0.25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ht="13.5" customHeight="1" spans="1:26" x14ac:dyDescent="0.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ht="13.5" customHeight="1" spans="1:26" x14ac:dyDescent="0.25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ht="13.5" customHeight="1" spans="1:26" x14ac:dyDescent="0.25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ht="13.5" customHeight="1" spans="1:26" x14ac:dyDescent="0.25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ht="13.5" customHeight="1" spans="1:26" x14ac:dyDescent="0.25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ht="13.5" customHeight="1" spans="1:26" x14ac:dyDescent="0.25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ht="13.5" customHeight="1" spans="1:26" x14ac:dyDescent="0.25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ht="13.5" customHeight="1" spans="1:26" x14ac:dyDescent="0.25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ht="13.5" customHeight="1" spans="1:26" x14ac:dyDescent="0.25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ht="13.5" customHeight="1" spans="1:26" x14ac:dyDescent="0.25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ht="13.5" customHeight="1" spans="1:26" x14ac:dyDescent="0.2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ht="13.5" customHeight="1" spans="1:26" x14ac:dyDescent="0.25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ht="13.5" customHeight="1" spans="1:26" x14ac:dyDescent="0.25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ht="13.5" customHeight="1" spans="1:26" x14ac:dyDescent="0.25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ht="13.5" customHeight="1" spans="1:26" x14ac:dyDescent="0.25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ht="13.5" customHeight="1" spans="1:26" x14ac:dyDescent="0.25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ht="13.5" customHeight="1" spans="1:26" x14ac:dyDescent="0.25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ht="13.5" customHeight="1" spans="1:26" x14ac:dyDescent="0.25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ht="13.5" customHeight="1" spans="1:26" x14ac:dyDescent="0.25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ht="13.5" customHeight="1" spans="1:26" x14ac:dyDescent="0.25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ht="13.5" customHeight="1" spans="1:26" x14ac:dyDescent="0.2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ht="13.5" customHeight="1" spans="1:26" x14ac:dyDescent="0.25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ht="13.5" customHeight="1" spans="1:26" x14ac:dyDescent="0.25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ht="13.5" customHeight="1" spans="1:26" x14ac:dyDescent="0.25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ht="13.5" customHeight="1" spans="1:26" x14ac:dyDescent="0.25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ht="13.5" customHeight="1" spans="1:26" x14ac:dyDescent="0.25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ht="13.5" customHeight="1" spans="1:26" x14ac:dyDescent="0.25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ht="13.5" customHeight="1" spans="1:26" x14ac:dyDescent="0.25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ht="13.5" customHeight="1" spans="1:26" x14ac:dyDescent="0.25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ht="13.5" customHeight="1" spans="1:26" x14ac:dyDescent="0.25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ht="13.5" customHeight="1" spans="1:26" x14ac:dyDescent="0.2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ht="13.5" customHeight="1" spans="1:26" x14ac:dyDescent="0.25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ht="13.5" customHeight="1" spans="1:26" x14ac:dyDescent="0.25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ht="13.5" customHeight="1" spans="1:26" x14ac:dyDescent="0.25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ht="13.5" customHeight="1" spans="1:26" x14ac:dyDescent="0.25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ht="13.5" customHeight="1" spans="1:26" x14ac:dyDescent="0.25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ht="13.5" customHeight="1" spans="1:26" x14ac:dyDescent="0.25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ht="13.5" customHeight="1" spans="1:26" x14ac:dyDescent="0.25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ht="13.5" customHeight="1" spans="1:26" x14ac:dyDescent="0.25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ht="13.5" customHeight="1" spans="1:26" x14ac:dyDescent="0.25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ht="13.5" customHeight="1" spans="1:26" x14ac:dyDescent="0.2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ht="13.5" customHeight="1" spans="1:26" x14ac:dyDescent="0.25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ht="13.5" customHeight="1" spans="1:26" x14ac:dyDescent="0.25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ht="13.5" customHeight="1" spans="1:26" x14ac:dyDescent="0.25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ht="13.5" customHeight="1" spans="1:26" x14ac:dyDescent="0.25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ht="13.5" customHeight="1" spans="1:26" x14ac:dyDescent="0.25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ht="13.5" customHeight="1" spans="1:26" x14ac:dyDescent="0.25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ht="13.5" customHeight="1" spans="1:26" x14ac:dyDescent="0.25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ht="13.5" customHeight="1" spans="1:26" x14ac:dyDescent="0.25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ht="13.5" customHeight="1" spans="1:26" x14ac:dyDescent="0.25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ht="13.5" customHeight="1" spans="1:26" x14ac:dyDescent="0.2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ht="13.5" customHeight="1" spans="1:26" x14ac:dyDescent="0.25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ht="13.5" customHeight="1" spans="1:26" x14ac:dyDescent="0.25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ht="13.5" customHeight="1" spans="1:26" x14ac:dyDescent="0.25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ht="13.5" customHeight="1" spans="1:26" x14ac:dyDescent="0.25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ht="13.5" customHeight="1" spans="1:26" x14ac:dyDescent="0.25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ht="13.5" customHeight="1" spans="1:26" x14ac:dyDescent="0.25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ht="13.5" customHeight="1" spans="1:26" x14ac:dyDescent="0.25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ht="13.5" customHeight="1" spans="1:26" x14ac:dyDescent="0.25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ht="13.5" customHeight="1" spans="1:26" x14ac:dyDescent="0.25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ht="13.5" customHeight="1" spans="1:26" x14ac:dyDescent="0.2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ht="13.5" customHeight="1" spans="1:26" x14ac:dyDescent="0.25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ht="13.5" customHeight="1" spans="1:26" x14ac:dyDescent="0.25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ht="13.5" customHeight="1" spans="1:26" x14ac:dyDescent="0.25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ht="13.5" customHeight="1" spans="1:26" x14ac:dyDescent="0.25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ht="13.5" customHeight="1" spans="1:26" x14ac:dyDescent="0.25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ht="13.5" customHeight="1" spans="1:26" x14ac:dyDescent="0.25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ht="13.5" customHeight="1" spans="1:26" x14ac:dyDescent="0.25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ht="13.5" customHeight="1" spans="1:26" x14ac:dyDescent="0.25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ht="13.5" customHeight="1" spans="1:26" x14ac:dyDescent="0.25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ht="13.5" customHeight="1" spans="1:26" x14ac:dyDescent="0.2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ht="13.5" customHeight="1" spans="1:26" x14ac:dyDescent="0.25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ht="13.5" customHeight="1" spans="1:26" x14ac:dyDescent="0.25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ht="13.5" customHeight="1" spans="1:26" x14ac:dyDescent="0.25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ht="13.5" customHeight="1" spans="1:26" x14ac:dyDescent="0.25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ht="13.5" customHeight="1" spans="1:26" x14ac:dyDescent="0.25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ht="13.5" customHeight="1" spans="1:26" x14ac:dyDescent="0.25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ht="13.5" customHeight="1" spans="1:26" x14ac:dyDescent="0.25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ht="13.5" customHeight="1" spans="1:26" x14ac:dyDescent="0.25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ht="13.5" customHeight="1" spans="1:26" x14ac:dyDescent="0.25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ht="13.5" customHeight="1" spans="1:26" x14ac:dyDescent="0.2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ht="13.5" customHeight="1" spans="1:26" x14ac:dyDescent="0.25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ht="13.5" customHeight="1" spans="1:26" x14ac:dyDescent="0.25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ht="13.5" customHeight="1" spans="1:26" x14ac:dyDescent="0.25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ht="13.5" customHeight="1" spans="1:26" x14ac:dyDescent="0.25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ht="13.5" customHeight="1" spans="1:26" x14ac:dyDescent="0.25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ht="13.5" customHeight="1" spans="1:26" x14ac:dyDescent="0.25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ht="13.5" customHeight="1" spans="1:26" x14ac:dyDescent="0.25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ht="13.5" customHeight="1" spans="1:26" x14ac:dyDescent="0.25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ht="13.5" customHeight="1" spans="1:26" x14ac:dyDescent="0.25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ht="13.5" customHeight="1" spans="1:26" x14ac:dyDescent="0.2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ht="13.5" customHeight="1" spans="1:26" x14ac:dyDescent="0.25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ht="13.5" customHeight="1" spans="1:26" x14ac:dyDescent="0.25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ht="13.5" customHeight="1" spans="1:26" x14ac:dyDescent="0.25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ht="13.5" customHeight="1" spans="1:26" x14ac:dyDescent="0.25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ht="13.5" customHeight="1" spans="1:26" x14ac:dyDescent="0.25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ht="13.5" customHeight="1" spans="1:26" x14ac:dyDescent="0.25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ht="13.5" customHeight="1" spans="1:26" x14ac:dyDescent="0.25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ht="13.5" customHeight="1" spans="1:26" x14ac:dyDescent="0.25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ht="13.5" customHeight="1" spans="1:26" x14ac:dyDescent="0.25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ht="13.5" customHeight="1" spans="1:26" x14ac:dyDescent="0.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ht="13.5" customHeight="1" spans="1:26" x14ac:dyDescent="0.25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ht="13.5" customHeight="1" spans="1:26" x14ac:dyDescent="0.25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ht="13.5" customHeight="1" spans="1:26" x14ac:dyDescent="0.25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ht="13.5" customHeight="1" spans="1:26" x14ac:dyDescent="0.25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ht="13.5" customHeight="1" spans="1:26" x14ac:dyDescent="0.25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ht="13.5" customHeight="1" spans="1:26" x14ac:dyDescent="0.25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ht="13.5" customHeight="1" spans="1:26" x14ac:dyDescent="0.25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ht="13.5" customHeight="1" spans="1:26" x14ac:dyDescent="0.25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ht="13.5" customHeight="1" spans="1:26" x14ac:dyDescent="0.25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ht="13.5" customHeight="1" spans="1:26" x14ac:dyDescent="0.2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ht="13.5" customHeight="1" spans="1:26" x14ac:dyDescent="0.25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ht="13.5" customHeight="1" spans="1:26" x14ac:dyDescent="0.25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ht="13.5" customHeight="1" spans="1:26" x14ac:dyDescent="0.25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ht="13.5" customHeight="1" spans="1:26" x14ac:dyDescent="0.25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ht="13.5" customHeight="1" spans="1:26" x14ac:dyDescent="0.25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ht="13.5" customHeight="1" spans="1:26" x14ac:dyDescent="0.25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ht="13.5" customHeight="1" spans="1:26" x14ac:dyDescent="0.25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ht="13.5" customHeight="1" spans="1:26" x14ac:dyDescent="0.25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ht="13.5" customHeight="1" spans="1:26" x14ac:dyDescent="0.25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ht="13.5" customHeight="1" spans="1:26" x14ac:dyDescent="0.2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ht="13.5" customHeight="1" spans="1:26" x14ac:dyDescent="0.25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ht="13.5" customHeight="1" spans="1:26" x14ac:dyDescent="0.25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ht="13.5" customHeight="1" spans="1:26" x14ac:dyDescent="0.25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ht="13.5" customHeight="1" spans="1:26" x14ac:dyDescent="0.25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ht="13.5" customHeight="1" spans="1:26" x14ac:dyDescent="0.25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ht="13.5" customHeight="1" spans="1:26" x14ac:dyDescent="0.25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ht="13.5" customHeight="1" spans="1:26" x14ac:dyDescent="0.25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ht="13.5" customHeight="1" spans="1:26" x14ac:dyDescent="0.25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ht="13.5" customHeight="1" spans="1:26" x14ac:dyDescent="0.25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ht="13.5" customHeight="1" spans="1:26" x14ac:dyDescent="0.2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ht="13.5" customHeight="1" spans="1:26" x14ac:dyDescent="0.25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ht="13.5" customHeight="1" spans="1:26" x14ac:dyDescent="0.25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ht="13.5" customHeight="1" spans="1:26" x14ac:dyDescent="0.25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ht="13.5" customHeight="1" spans="1:26" x14ac:dyDescent="0.25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ht="13.5" customHeight="1" spans="1:26" x14ac:dyDescent="0.25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ht="13.5" customHeight="1" spans="1:26" x14ac:dyDescent="0.25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ht="13.5" customHeight="1" spans="1:26" x14ac:dyDescent="0.25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ht="13.5" customHeight="1" spans="1:26" x14ac:dyDescent="0.25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ht="13.5" customHeight="1" spans="1:26" x14ac:dyDescent="0.25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ht="13.5" customHeight="1" spans="1:26" x14ac:dyDescent="0.2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ht="13.5" customHeight="1" spans="1:26" x14ac:dyDescent="0.25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ht="13.5" customHeight="1" spans="1:26" x14ac:dyDescent="0.25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ht="13.5" customHeight="1" spans="1:26" x14ac:dyDescent="0.25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ht="13.5" customHeight="1" spans="1:26" x14ac:dyDescent="0.25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ht="13.5" customHeight="1" spans="1:26" x14ac:dyDescent="0.25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ht="13.5" customHeight="1" spans="1:26" x14ac:dyDescent="0.25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ht="13.5" customHeight="1" spans="1:26" x14ac:dyDescent="0.25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ht="13.5" customHeight="1" spans="1:26" x14ac:dyDescent="0.25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ht="13.5" customHeight="1" spans="1:26" x14ac:dyDescent="0.25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ht="13.5" customHeight="1" spans="1:26" x14ac:dyDescent="0.2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ht="13.5" customHeight="1" spans="1:26" x14ac:dyDescent="0.25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ht="13.5" customHeight="1" spans="1:26" x14ac:dyDescent="0.25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ht="13.5" customHeight="1" spans="1:26" x14ac:dyDescent="0.25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ht="13.5" customHeight="1" spans="1:26" x14ac:dyDescent="0.25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ht="13.5" customHeight="1" spans="1:26" x14ac:dyDescent="0.25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ht="13.5" customHeight="1" spans="1:26" x14ac:dyDescent="0.25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ht="13.5" customHeight="1" spans="1:26" x14ac:dyDescent="0.25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ht="13.5" customHeight="1" spans="1:26" x14ac:dyDescent="0.25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ht="13.5" customHeight="1" spans="1:26" x14ac:dyDescent="0.25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ht="13.5" customHeight="1" spans="1:26" x14ac:dyDescent="0.2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ht="13.5" customHeight="1" spans="1:26" x14ac:dyDescent="0.25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ht="13.5" customHeight="1" spans="1:26" x14ac:dyDescent="0.25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ht="13.5" customHeight="1" spans="1:26" x14ac:dyDescent="0.25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ht="13.5" customHeight="1" spans="1:26" x14ac:dyDescent="0.25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ht="13.5" customHeight="1" spans="1:26" x14ac:dyDescent="0.25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ht="13.5" customHeight="1" spans="1:26" x14ac:dyDescent="0.25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ht="13.5" customHeight="1" spans="1:26" x14ac:dyDescent="0.25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ht="13.5" customHeight="1" spans="1:26" x14ac:dyDescent="0.25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ht="13.5" customHeight="1" spans="1:26" x14ac:dyDescent="0.25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ht="13.5" customHeight="1" spans="1:26" x14ac:dyDescent="0.2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ht="13.5" customHeight="1" spans="1:26" x14ac:dyDescent="0.25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ht="13.5" customHeight="1" spans="1:26" x14ac:dyDescent="0.25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ht="13.5" customHeight="1" spans="1:26" x14ac:dyDescent="0.25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ht="13.5" customHeight="1" spans="1:26" x14ac:dyDescent="0.25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ht="13.5" customHeight="1" spans="1:26" x14ac:dyDescent="0.25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ht="13.5" customHeight="1" spans="1:26" x14ac:dyDescent="0.25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ht="13.5" customHeight="1" spans="1:26" x14ac:dyDescent="0.25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ht="13.5" customHeight="1" spans="1:26" x14ac:dyDescent="0.25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ht="13.5" customHeight="1" spans="1:26" x14ac:dyDescent="0.25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ht="13.5" customHeight="1" spans="1:26" x14ac:dyDescent="0.2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ht="13.5" customHeight="1" spans="1:26" x14ac:dyDescent="0.25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ht="13.5" customHeight="1" spans="1:26" x14ac:dyDescent="0.25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ht="13.5" customHeight="1" spans="1:26" x14ac:dyDescent="0.25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ht="13.5" customHeight="1" spans="1:26" x14ac:dyDescent="0.25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ht="13.5" customHeight="1" spans="1:26" x14ac:dyDescent="0.25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ht="13.5" customHeight="1" spans="1:26" x14ac:dyDescent="0.25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ht="13.5" customHeight="1" spans="1:26" x14ac:dyDescent="0.25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ht="13.5" customHeight="1" spans="1:26" x14ac:dyDescent="0.25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ht="13.5" customHeight="1" spans="1:26" x14ac:dyDescent="0.25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ht="13.5" customHeight="1" spans="1:26" x14ac:dyDescent="0.2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ht="13.5" customHeight="1" spans="1:26" x14ac:dyDescent="0.25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ht="13.5" customHeight="1" spans="1:26" x14ac:dyDescent="0.25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ht="13.5" customHeight="1" spans="1:26" x14ac:dyDescent="0.25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ht="13.5" customHeight="1" spans="1:26" x14ac:dyDescent="0.25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ht="13.5" customHeight="1" spans="1:26" x14ac:dyDescent="0.25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ht="13.5" customHeight="1" spans="1:26" x14ac:dyDescent="0.25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ht="13.5" customHeight="1" spans="1:26" x14ac:dyDescent="0.25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ht="13.5" customHeight="1" spans="1:26" x14ac:dyDescent="0.25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ht="13.5" customHeight="1" spans="1:26" x14ac:dyDescent="0.25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ht="13.5" customHeight="1" spans="1:26" x14ac:dyDescent="0.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ht="13.5" customHeight="1" spans="1:26" x14ac:dyDescent="0.25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ht="13.5" customHeight="1" spans="1:26" x14ac:dyDescent="0.25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ht="13.5" customHeight="1" spans="1:26" x14ac:dyDescent="0.25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ht="13.5" customHeight="1" spans="1:26" x14ac:dyDescent="0.25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ht="13.5" customHeight="1" spans="1:26" x14ac:dyDescent="0.25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ht="13.5" customHeight="1" spans="1:26" x14ac:dyDescent="0.25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ht="13.5" customHeight="1" spans="1:26" x14ac:dyDescent="0.25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ht="13.5" customHeight="1" spans="1:26" x14ac:dyDescent="0.25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ht="13.5" customHeight="1" spans="1:26" x14ac:dyDescent="0.25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ht="13.5" customHeight="1" spans="1:26" x14ac:dyDescent="0.2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ht="13.5" customHeight="1" spans="1:26" x14ac:dyDescent="0.25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ht="13.5" customHeight="1" spans="1:26" x14ac:dyDescent="0.25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ht="13.5" customHeight="1" spans="1:26" x14ac:dyDescent="0.25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ht="13.5" customHeight="1" spans="1:26" x14ac:dyDescent="0.25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ht="13.5" customHeight="1" spans="1:26" x14ac:dyDescent="0.25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ht="13.5" customHeight="1" spans="1:26" x14ac:dyDescent="0.25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ht="13.5" customHeight="1" spans="1:26" x14ac:dyDescent="0.25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ht="13.5" customHeight="1" spans="1:26" x14ac:dyDescent="0.25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ht="13.5" customHeight="1" spans="1:26" x14ac:dyDescent="0.25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ht="13.5" customHeight="1" spans="1:26" x14ac:dyDescent="0.2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ht="13.5" customHeight="1" spans="1:26" x14ac:dyDescent="0.25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ht="13.5" customHeight="1" spans="1:26" x14ac:dyDescent="0.25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ht="13.5" customHeight="1" spans="1:26" x14ac:dyDescent="0.25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ht="13.5" customHeight="1" spans="1:26" x14ac:dyDescent="0.25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ht="13.5" customHeight="1" spans="1:26" x14ac:dyDescent="0.25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ht="13.5" customHeight="1" spans="1:26" x14ac:dyDescent="0.25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ht="13.5" customHeight="1" spans="1:26" x14ac:dyDescent="0.25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ht="13.5" customHeight="1" spans="1:26" x14ac:dyDescent="0.25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ht="13.5" customHeight="1" spans="1:26" x14ac:dyDescent="0.25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ht="13.5" customHeight="1" spans="1:26" x14ac:dyDescent="0.2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ht="13.5" customHeight="1" spans="1:26" x14ac:dyDescent="0.25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ht="13.5" customHeight="1" spans="1:26" x14ac:dyDescent="0.25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ht="13.5" customHeight="1" spans="1:26" x14ac:dyDescent="0.25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ht="13.5" customHeight="1" spans="1:26" x14ac:dyDescent="0.25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ht="13.5" customHeight="1" spans="1:26" x14ac:dyDescent="0.25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ht="13.5" customHeight="1" spans="1:26" x14ac:dyDescent="0.25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ht="13.5" customHeight="1" spans="1:26" x14ac:dyDescent="0.25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ht="13.5" customHeight="1" spans="1:26" x14ac:dyDescent="0.25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ht="13.5" customHeight="1" spans="1:26" x14ac:dyDescent="0.25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ht="13.5" customHeight="1" spans="1:26" x14ac:dyDescent="0.2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ht="13.5" customHeight="1" spans="1:26" x14ac:dyDescent="0.25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ht="13.5" customHeight="1" spans="1:26" x14ac:dyDescent="0.25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ht="13.5" customHeight="1" spans="1:26" x14ac:dyDescent="0.25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ht="13.5" customHeight="1" spans="1:26" x14ac:dyDescent="0.25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ht="13.5" customHeight="1" spans="1:26" x14ac:dyDescent="0.25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ht="13.5" customHeight="1" spans="1:26" x14ac:dyDescent="0.25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ht="13.5" customHeight="1" spans="1:26" x14ac:dyDescent="0.25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ht="13.5" customHeight="1" spans="1:26" x14ac:dyDescent="0.25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ht="13.5" customHeight="1" spans="1:26" x14ac:dyDescent="0.25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ht="13.5" customHeight="1" spans="1:26" x14ac:dyDescent="0.2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ht="13.5" customHeight="1" spans="1:26" x14ac:dyDescent="0.25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ht="13.5" customHeight="1" spans="1:26" x14ac:dyDescent="0.25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ht="13.5" customHeight="1" spans="1:26" x14ac:dyDescent="0.25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ht="13.5" customHeight="1" spans="1:26" x14ac:dyDescent="0.25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ht="13.5" customHeight="1" spans="1:26" x14ac:dyDescent="0.25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ht="13.5" customHeight="1" spans="1:26" x14ac:dyDescent="0.25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ht="13.5" customHeight="1" spans="1:26" x14ac:dyDescent="0.25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ht="13.5" customHeight="1" spans="1:26" x14ac:dyDescent="0.25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ht="13.5" customHeight="1" spans="1:26" x14ac:dyDescent="0.25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ht="13.5" customHeight="1" spans="1:26" x14ac:dyDescent="0.2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ht="13.5" customHeight="1" spans="1:26" x14ac:dyDescent="0.25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ht="13.5" customHeight="1" spans="1:26" x14ac:dyDescent="0.25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ht="13.5" customHeight="1" spans="1:26" x14ac:dyDescent="0.25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ht="13.5" customHeight="1" spans="1:26" x14ac:dyDescent="0.25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ht="13.5" customHeight="1" spans="1:26" x14ac:dyDescent="0.25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ht="13.5" customHeight="1" spans="1:26" x14ac:dyDescent="0.25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ht="13.5" customHeight="1" spans="1:26" x14ac:dyDescent="0.25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ht="13.5" customHeight="1" spans="1:26" x14ac:dyDescent="0.25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ht="13.5" customHeight="1" spans="1:26" x14ac:dyDescent="0.25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ht="13.5" customHeight="1" spans="1:26" x14ac:dyDescent="0.2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ht="13.5" customHeight="1" spans="1:26" x14ac:dyDescent="0.25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ht="13.5" customHeight="1" spans="1:26" x14ac:dyDescent="0.25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ht="13.5" customHeight="1" spans="1:26" x14ac:dyDescent="0.25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ht="13.5" customHeight="1" spans="1:26" x14ac:dyDescent="0.25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ht="13.5" customHeight="1" spans="1:26" x14ac:dyDescent="0.25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mergeCells count="40">
    <mergeCell ref="A1:T1"/>
    <mergeCell ref="C2:D2"/>
    <mergeCell ref="G2:K2"/>
    <mergeCell ref="M2:S2"/>
    <mergeCell ref="C3:D3"/>
    <mergeCell ref="G3:H3"/>
    <mergeCell ref="J3:N3"/>
    <mergeCell ref="A4:E11"/>
    <mergeCell ref="F4:J11"/>
    <mergeCell ref="K4:O11"/>
    <mergeCell ref="P4:T11"/>
    <mergeCell ref="B12:E12"/>
    <mergeCell ref="G12:J12"/>
    <mergeCell ref="L12:O12"/>
    <mergeCell ref="Q12:T12"/>
    <mergeCell ref="A13:E20"/>
    <mergeCell ref="F13:J20"/>
    <mergeCell ref="K13:O20"/>
    <mergeCell ref="P13:T20"/>
    <mergeCell ref="B21:E21"/>
    <mergeCell ref="G21:J21"/>
    <mergeCell ref="L21:O21"/>
    <mergeCell ref="Q21:T21"/>
    <mergeCell ref="A22:E29"/>
    <mergeCell ref="F22:J29"/>
    <mergeCell ref="K22:O29"/>
    <mergeCell ref="P22:T29"/>
    <mergeCell ref="B30:E30"/>
    <mergeCell ref="G30:J30"/>
    <mergeCell ref="L30:O30"/>
    <mergeCell ref="Q30:T30"/>
    <mergeCell ref="A31:E38"/>
    <mergeCell ref="F31:J38"/>
    <mergeCell ref="K31:O38"/>
    <mergeCell ref="P31:T38"/>
    <mergeCell ref="B39:E39"/>
    <mergeCell ref="G39:J39"/>
    <mergeCell ref="L39:O39"/>
    <mergeCell ref="Q39:T39"/>
    <mergeCell ref="A40:T40"/>
  </mergeCells>
  <pageMargins left="0" right="0" top="0.25" bottom="0" header="0" footer="0"/>
  <pageSetup paperSize="9" orientation="landscape" horizontalDpi="4294967295" verticalDpi="4294967295" scale="3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1" width="14.88" customWidth="1"/>
    <col min="12" max="12" width="11.75" customWidth="1"/>
    <col min="13" max="14" width="14.88" customWidth="1"/>
    <col min="15" max="15" width="21.63" customWidth="1"/>
    <col min="16" max="16" width="6" customWidth="1"/>
    <col min="17" max="17" width="14.88" customWidth="1"/>
    <col min="18" max="18" width="18.63" customWidth="1"/>
    <col min="19" max="19" width="19.38" customWidth="1"/>
    <col min="20" max="20" width="14.88" customWidth="1"/>
    <col min="21" max="26" width="10.25" customWidth="1"/>
  </cols>
  <sheetData>
    <row r="1" ht="49.5" customHeight="1" spans="1:26" x14ac:dyDescent="0.25">
      <c r="A1" s="239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3"/>
      <c r="V1" s="213"/>
      <c r="W1" s="213"/>
      <c r="X1" s="213"/>
      <c r="Y1" s="213"/>
      <c r="Z1" s="213"/>
    </row>
    <row r="2" ht="42.75" customHeight="1" spans="1:26" x14ac:dyDescent="0.25">
      <c r="A2" s="175" t="s">
        <v>8</v>
      </c>
      <c r="B2" s="176"/>
      <c r="C2" s="177">
        <f>'Picture Major Defects '!C2</f>
      </c>
      <c r="D2" s="63"/>
      <c r="E2" s="178" t="s">
        <v>10</v>
      </c>
      <c r="F2" s="176"/>
      <c r="G2" s="177">
        <f>'Picture Major Defects '!G2</f>
      </c>
      <c r="H2" s="62"/>
      <c r="I2" s="62"/>
      <c r="J2" s="62"/>
      <c r="K2" s="63"/>
      <c r="L2" s="179" t="s">
        <v>9</v>
      </c>
      <c r="M2" s="177">
        <f>'Picture Major Defects '!M2</f>
      </c>
      <c r="N2" s="62"/>
      <c r="O2" s="62"/>
      <c r="P2" s="62"/>
      <c r="Q2" s="62"/>
      <c r="R2" s="62"/>
      <c r="S2" s="150"/>
      <c r="T2" s="174"/>
      <c r="U2" s="174"/>
      <c r="V2" s="174"/>
      <c r="W2" s="174"/>
      <c r="X2" s="174"/>
      <c r="Y2" s="174"/>
      <c r="Z2" s="174"/>
    </row>
    <row r="3" ht="42.75" customHeight="1" spans="1:26" x14ac:dyDescent="0.25">
      <c r="A3" s="180" t="s">
        <v>12</v>
      </c>
      <c r="B3" s="181"/>
      <c r="C3" s="182">
        <f>'Picture Major Defects '!C3</f>
        <v>20000</v>
      </c>
      <c r="D3" s="40"/>
      <c r="E3" s="183" t="s">
        <v>13</v>
      </c>
      <c r="F3" s="184"/>
      <c r="G3" s="182">
        <f>'Picture Major Defects '!G3</f>
        <v>315</v>
      </c>
      <c r="H3" s="40"/>
      <c r="I3" s="183" t="s">
        <v>15</v>
      </c>
      <c r="J3" s="186">
        <f>'Main Report (2)'!J5</f>
      </c>
      <c r="K3" s="137"/>
      <c r="L3" s="137"/>
      <c r="M3" s="137"/>
      <c r="N3" s="40"/>
      <c r="O3" s="183" t="s">
        <v>180</v>
      </c>
      <c r="P3" s="240">
        <f>'Picture Major Defects '!Q3</f>
      </c>
      <c r="Q3" s="40"/>
      <c r="R3" s="182" t="s">
        <v>11</v>
      </c>
      <c r="S3" s="188">
        <f>'Picture Major Defects '!S3</f>
      </c>
      <c r="T3" s="174"/>
      <c r="U3" s="174"/>
      <c r="V3" s="174"/>
      <c r="W3" s="174"/>
      <c r="X3" s="174"/>
      <c r="Y3" s="174"/>
      <c r="Z3" s="174"/>
    </row>
    <row r="4" ht="46.5" customHeight="1" spans="1:26" x14ac:dyDescent="0.25">
      <c r="A4" s="241"/>
      <c r="B4" s="190"/>
      <c r="C4" s="190"/>
      <c r="D4" s="190"/>
      <c r="E4" s="215"/>
      <c r="F4" s="242"/>
      <c r="G4" s="190"/>
      <c r="H4" s="190"/>
      <c r="I4" s="190"/>
      <c r="J4" s="215"/>
      <c r="K4" s="242"/>
      <c r="L4" s="190"/>
      <c r="M4" s="190"/>
      <c r="N4" s="190"/>
      <c r="O4" s="215"/>
      <c r="P4" s="243"/>
      <c r="Q4" s="148"/>
      <c r="R4" s="148"/>
      <c r="S4" s="148"/>
      <c r="T4" s="193"/>
      <c r="U4" s="213"/>
      <c r="V4" s="213"/>
      <c r="W4" s="213"/>
      <c r="X4" s="213"/>
      <c r="Y4" s="213"/>
      <c r="Z4" s="213"/>
    </row>
    <row r="5" ht="46.5" customHeight="1" spans="1:26" x14ac:dyDescent="0.25">
      <c r="A5" s="192"/>
      <c r="B5"/>
      <c r="C5"/>
      <c r="D5"/>
      <c r="E5" s="217"/>
      <c r="F5" s="218"/>
      <c r="G5"/>
      <c r="H5"/>
      <c r="I5"/>
      <c r="J5" s="217"/>
      <c r="K5" s="218"/>
      <c r="L5"/>
      <c r="M5"/>
      <c r="N5"/>
      <c r="O5" s="217"/>
      <c r="P5" s="218"/>
      <c r="Q5"/>
      <c r="R5"/>
      <c r="S5"/>
      <c r="T5" s="193"/>
      <c r="U5" s="213"/>
      <c r="V5" s="213"/>
      <c r="W5" s="213"/>
      <c r="X5" s="213"/>
      <c r="Y5" s="213"/>
      <c r="Z5" s="213"/>
    </row>
    <row r="6" ht="46.5" customHeight="1" spans="1:26" x14ac:dyDescent="0.25">
      <c r="A6" s="192"/>
      <c r="B6"/>
      <c r="C6"/>
      <c r="D6"/>
      <c r="E6" s="217"/>
      <c r="F6" s="218"/>
      <c r="G6"/>
      <c r="H6"/>
      <c r="I6"/>
      <c r="J6" s="217"/>
      <c r="K6" s="218"/>
      <c r="L6"/>
      <c r="M6"/>
      <c r="N6"/>
      <c r="O6" s="217"/>
      <c r="P6" s="218"/>
      <c r="Q6"/>
      <c r="R6"/>
      <c r="S6"/>
      <c r="T6" s="193"/>
      <c r="U6" s="213"/>
      <c r="V6" s="213"/>
      <c r="W6" s="213"/>
      <c r="X6" s="213"/>
      <c r="Y6" s="213"/>
      <c r="Z6" s="213"/>
    </row>
    <row r="7" ht="46.5" customHeight="1" spans="1:26" x14ac:dyDescent="0.25">
      <c r="A7" s="192"/>
      <c r="B7"/>
      <c r="C7"/>
      <c r="D7"/>
      <c r="E7" s="217"/>
      <c r="F7" s="218"/>
      <c r="G7"/>
      <c r="H7"/>
      <c r="I7"/>
      <c r="J7" s="217"/>
      <c r="K7" s="218"/>
      <c r="L7"/>
      <c r="M7"/>
      <c r="N7"/>
      <c r="O7" s="217"/>
      <c r="P7" s="218"/>
      <c r="Q7"/>
      <c r="R7"/>
      <c r="S7"/>
      <c r="T7" s="193"/>
      <c r="U7" s="213"/>
      <c r="V7" s="213"/>
      <c r="W7" s="213"/>
      <c r="X7" s="213"/>
      <c r="Y7" s="213"/>
      <c r="Z7" s="213"/>
    </row>
    <row r="8" ht="46.5" customHeight="1" spans="1:26" x14ac:dyDescent="0.25">
      <c r="A8" s="192"/>
      <c r="B8"/>
      <c r="C8"/>
      <c r="D8"/>
      <c r="E8" s="217"/>
      <c r="F8" s="218"/>
      <c r="G8"/>
      <c r="H8"/>
      <c r="I8"/>
      <c r="J8" s="217"/>
      <c r="K8" s="218"/>
      <c r="L8"/>
      <c r="M8"/>
      <c r="N8"/>
      <c r="O8" s="217"/>
      <c r="P8" s="218"/>
      <c r="Q8"/>
      <c r="R8"/>
      <c r="S8"/>
      <c r="T8" s="193"/>
      <c r="U8" s="213"/>
      <c r="V8" s="213"/>
      <c r="W8" s="213"/>
      <c r="X8" s="213"/>
      <c r="Y8" s="213"/>
      <c r="Z8" s="213"/>
    </row>
    <row r="9" ht="46.5" customHeight="1" spans="1:26" x14ac:dyDescent="0.25">
      <c r="A9" s="192"/>
      <c r="B9"/>
      <c r="C9"/>
      <c r="D9"/>
      <c r="E9" s="217"/>
      <c r="F9" s="218"/>
      <c r="G9"/>
      <c r="H9"/>
      <c r="I9"/>
      <c r="J9" s="217"/>
      <c r="K9" s="218"/>
      <c r="L9"/>
      <c r="M9"/>
      <c r="N9"/>
      <c r="O9" s="217"/>
      <c r="P9" s="218"/>
      <c r="Q9"/>
      <c r="R9"/>
      <c r="S9"/>
      <c r="T9" s="193"/>
      <c r="U9" s="213"/>
      <c r="V9" s="213"/>
      <c r="W9" s="213"/>
      <c r="X9" s="213"/>
      <c r="Y9" s="213"/>
      <c r="Z9" s="213"/>
    </row>
    <row r="10" ht="46.5" customHeight="1" spans="1:26" x14ac:dyDescent="0.25">
      <c r="A10" s="192"/>
      <c r="B10"/>
      <c r="C10"/>
      <c r="D10"/>
      <c r="E10" s="217"/>
      <c r="F10" s="218"/>
      <c r="G10"/>
      <c r="H10"/>
      <c r="I10"/>
      <c r="J10" s="217"/>
      <c r="K10" s="218"/>
      <c r="L10"/>
      <c r="M10"/>
      <c r="N10"/>
      <c r="O10" s="217"/>
      <c r="P10" s="218"/>
      <c r="Q10"/>
      <c r="R10"/>
      <c r="S10"/>
      <c r="T10" s="193"/>
      <c r="U10" s="213"/>
      <c r="V10" s="213"/>
      <c r="W10" s="213"/>
      <c r="X10" s="213"/>
      <c r="Y10" s="213"/>
      <c r="Z10" s="213"/>
    </row>
    <row r="11" ht="46.5" customHeight="1" spans="1:26" x14ac:dyDescent="0.25">
      <c r="A11" s="219"/>
      <c r="B11" s="212"/>
      <c r="C11" s="212"/>
      <c r="D11" s="212"/>
      <c r="E11" s="220"/>
      <c r="F11" s="221"/>
      <c r="G11" s="212"/>
      <c r="H11" s="212"/>
      <c r="I11" s="212"/>
      <c r="J11" s="220"/>
      <c r="K11" s="221"/>
      <c r="L11" s="212"/>
      <c r="M11" s="212"/>
      <c r="N11" s="212"/>
      <c r="O11" s="220"/>
      <c r="P11" s="221"/>
      <c r="Q11" s="212"/>
      <c r="R11" s="212"/>
      <c r="S11" s="212"/>
      <c r="T11" s="222"/>
      <c r="U11" s="213"/>
      <c r="V11" s="213"/>
      <c r="W11" s="213"/>
      <c r="X11" s="213"/>
      <c r="Y11" s="213"/>
      <c r="Z11" s="213"/>
    </row>
    <row r="12" ht="46.5" customHeight="1" spans="1:26" x14ac:dyDescent="0.25">
      <c r="A12" s="244" t="s">
        <v>194</v>
      </c>
      <c r="B12" s="245"/>
      <c r="C12" s="4"/>
      <c r="D12" s="4"/>
      <c r="E12" s="5"/>
      <c r="F12" s="246" t="s">
        <v>194</v>
      </c>
      <c r="G12" s="245"/>
      <c r="H12" s="4"/>
      <c r="I12" s="4"/>
      <c r="J12" s="5"/>
      <c r="K12" s="246" t="s">
        <v>194</v>
      </c>
      <c r="L12" s="245"/>
      <c r="M12" s="4"/>
      <c r="N12" s="4"/>
      <c r="O12" s="5"/>
      <c r="P12" s="246" t="s">
        <v>194</v>
      </c>
      <c r="Q12" s="245"/>
      <c r="R12" s="4"/>
      <c r="S12" s="4"/>
      <c r="T12" s="5"/>
      <c r="U12" s="213"/>
      <c r="V12" s="213"/>
      <c r="W12" s="213"/>
      <c r="X12" s="213"/>
      <c r="Y12" s="213"/>
      <c r="Z12" s="213"/>
    </row>
    <row r="13" ht="46.5" customHeight="1" spans="1:26" x14ac:dyDescent="0.25">
      <c r="A13" s="247"/>
      <c r="B13" s="228"/>
      <c r="C13" s="228"/>
      <c r="D13" s="228"/>
      <c r="E13" s="229"/>
      <c r="F13" s="248"/>
      <c r="G13" s="228"/>
      <c r="H13" s="228"/>
      <c r="I13" s="228"/>
      <c r="J13" s="229"/>
      <c r="K13" s="248"/>
      <c r="L13" s="228"/>
      <c r="M13" s="228"/>
      <c r="N13" s="228"/>
      <c r="O13" s="229"/>
      <c r="P13" s="248"/>
      <c r="Q13" s="228"/>
      <c r="R13" s="228"/>
      <c r="S13" s="228"/>
      <c r="T13" s="231"/>
      <c r="U13" s="213"/>
      <c r="V13" s="213"/>
      <c r="W13" s="213"/>
      <c r="X13" s="213"/>
      <c r="Y13" s="213"/>
      <c r="Z13" s="213"/>
    </row>
    <row r="14" ht="46.5" customHeight="1" spans="1:26" x14ac:dyDescent="0.25">
      <c r="A14" s="192"/>
      <c r="B14"/>
      <c r="C14"/>
      <c r="D14"/>
      <c r="E14" s="217"/>
      <c r="F14" s="218"/>
      <c r="G14"/>
      <c r="H14"/>
      <c r="I14"/>
      <c r="J14" s="217"/>
      <c r="K14" s="218"/>
      <c r="L14"/>
      <c r="M14"/>
      <c r="N14"/>
      <c r="O14" s="217"/>
      <c r="P14" s="218"/>
      <c r="Q14"/>
      <c r="R14"/>
      <c r="S14"/>
      <c r="T14" s="193"/>
      <c r="U14" s="213"/>
      <c r="V14" s="213"/>
      <c r="W14" s="213"/>
      <c r="X14" s="213"/>
      <c r="Y14" s="213"/>
      <c r="Z14" s="213"/>
    </row>
    <row r="15" ht="46.5" customHeight="1" spans="1:26" x14ac:dyDescent="0.25">
      <c r="A15" s="192"/>
      <c r="B15"/>
      <c r="C15"/>
      <c r="D15"/>
      <c r="E15" s="217"/>
      <c r="F15" s="218"/>
      <c r="G15"/>
      <c r="H15"/>
      <c r="I15"/>
      <c r="J15" s="217"/>
      <c r="K15" s="218"/>
      <c r="L15"/>
      <c r="M15"/>
      <c r="N15"/>
      <c r="O15" s="217"/>
      <c r="P15" s="218"/>
      <c r="Q15"/>
      <c r="R15"/>
      <c r="S15"/>
      <c r="T15" s="193"/>
      <c r="U15" s="213"/>
      <c r="V15" s="213"/>
      <c r="W15" s="213"/>
      <c r="X15" s="213"/>
      <c r="Y15" s="213"/>
      <c r="Z15" s="213"/>
    </row>
    <row r="16" ht="46.5" customHeight="1" spans="1:26" x14ac:dyDescent="0.25">
      <c r="A16" s="192"/>
      <c r="B16"/>
      <c r="C16"/>
      <c r="D16"/>
      <c r="E16" s="217"/>
      <c r="F16" s="218"/>
      <c r="G16"/>
      <c r="H16"/>
      <c r="I16"/>
      <c r="J16" s="217"/>
      <c r="K16" s="218"/>
      <c r="L16"/>
      <c r="M16"/>
      <c r="N16"/>
      <c r="O16" s="217"/>
      <c r="P16" s="218"/>
      <c r="Q16"/>
      <c r="R16"/>
      <c r="S16"/>
      <c r="T16" s="193"/>
      <c r="U16" s="213"/>
      <c r="V16" s="213"/>
      <c r="W16" s="213"/>
      <c r="X16" s="213"/>
      <c r="Y16" s="213"/>
      <c r="Z16" s="213"/>
    </row>
    <row r="17" ht="46.5" customHeight="1" spans="1:26" x14ac:dyDescent="0.25">
      <c r="A17" s="192"/>
      <c r="B17"/>
      <c r="C17"/>
      <c r="D17"/>
      <c r="E17" s="217"/>
      <c r="F17" s="218"/>
      <c r="G17"/>
      <c r="H17"/>
      <c r="I17"/>
      <c r="J17" s="217"/>
      <c r="K17" s="218"/>
      <c r="L17"/>
      <c r="M17"/>
      <c r="N17"/>
      <c r="O17" s="217"/>
      <c r="P17" s="218"/>
      <c r="Q17"/>
      <c r="R17"/>
      <c r="S17"/>
      <c r="T17" s="193"/>
      <c r="U17" s="213"/>
      <c r="V17" s="213"/>
      <c r="W17" s="213"/>
      <c r="X17" s="213"/>
      <c r="Y17" s="213"/>
      <c r="Z17" s="213"/>
    </row>
    <row r="18" ht="46.5" customHeight="1" spans="1:26" x14ac:dyDescent="0.25">
      <c r="A18" s="192"/>
      <c r="B18"/>
      <c r="C18"/>
      <c r="D18"/>
      <c r="E18" s="217"/>
      <c r="F18" s="218"/>
      <c r="G18"/>
      <c r="H18"/>
      <c r="I18"/>
      <c r="J18" s="217"/>
      <c r="K18" s="218"/>
      <c r="L18"/>
      <c r="M18"/>
      <c r="N18"/>
      <c r="O18" s="217"/>
      <c r="P18" s="218"/>
      <c r="Q18"/>
      <c r="R18"/>
      <c r="S18"/>
      <c r="T18" s="193"/>
      <c r="U18" s="213"/>
      <c r="V18" s="213"/>
      <c r="W18" s="213"/>
      <c r="X18" s="213"/>
      <c r="Y18" s="213"/>
      <c r="Z18" s="213"/>
    </row>
    <row r="19" ht="46.5" customHeight="1" spans="1:26" x14ac:dyDescent="0.25">
      <c r="A19" s="192"/>
      <c r="B19"/>
      <c r="C19"/>
      <c r="D19"/>
      <c r="E19" s="217"/>
      <c r="F19" s="218"/>
      <c r="G19"/>
      <c r="H19"/>
      <c r="I19"/>
      <c r="J19" s="217"/>
      <c r="K19" s="218"/>
      <c r="L19"/>
      <c r="M19"/>
      <c r="N19"/>
      <c r="O19" s="217"/>
      <c r="P19" s="218"/>
      <c r="Q19"/>
      <c r="R19"/>
      <c r="S19"/>
      <c r="T19" s="193"/>
      <c r="U19" s="213"/>
      <c r="V19" s="213"/>
      <c r="W19" s="213"/>
      <c r="X19" s="213"/>
      <c r="Y19" s="213"/>
      <c r="Z19" s="213"/>
    </row>
    <row r="20" ht="46.5" customHeight="1" spans="1:26" x14ac:dyDescent="0.25">
      <c r="A20" s="219"/>
      <c r="B20" s="212"/>
      <c r="C20" s="212"/>
      <c r="D20" s="212"/>
      <c r="E20" s="220"/>
      <c r="F20" s="221"/>
      <c r="G20" s="212"/>
      <c r="H20" s="212"/>
      <c r="I20" s="212"/>
      <c r="J20" s="220"/>
      <c r="K20" s="221"/>
      <c r="L20" s="212"/>
      <c r="M20" s="212"/>
      <c r="N20" s="212"/>
      <c r="O20" s="220"/>
      <c r="P20" s="221"/>
      <c r="Q20" s="212"/>
      <c r="R20" s="212"/>
      <c r="S20" s="212"/>
      <c r="T20" s="222"/>
      <c r="U20" s="213"/>
      <c r="V20" s="213"/>
      <c r="W20" s="213"/>
      <c r="X20" s="213"/>
      <c r="Y20" s="213"/>
      <c r="Z20" s="213"/>
    </row>
    <row r="21" ht="46.5" customHeight="1" spans="1:26" x14ac:dyDescent="0.25">
      <c r="A21" s="244" t="s">
        <v>194</v>
      </c>
      <c r="B21" s="245"/>
      <c r="C21" s="4"/>
      <c r="D21" s="4"/>
      <c r="E21" s="5"/>
      <c r="F21" s="246" t="s">
        <v>194</v>
      </c>
      <c r="G21" s="245"/>
      <c r="H21" s="4"/>
      <c r="I21" s="4"/>
      <c r="J21" s="5"/>
      <c r="K21" s="246" t="s">
        <v>194</v>
      </c>
      <c r="L21" s="245"/>
      <c r="M21" s="4"/>
      <c r="N21" s="4"/>
      <c r="O21" s="5"/>
      <c r="P21" s="246" t="s">
        <v>194</v>
      </c>
      <c r="Q21" s="245"/>
      <c r="R21" s="4"/>
      <c r="S21" s="4"/>
      <c r="T21" s="36"/>
      <c r="U21" s="213"/>
      <c r="V21" s="213"/>
      <c r="W21" s="213"/>
      <c r="X21" s="213"/>
      <c r="Y21" s="213"/>
      <c r="Z21" s="213"/>
    </row>
    <row r="22" ht="46.5" customHeight="1" spans="1:26" x14ac:dyDescent="0.25">
      <c r="A22" s="247"/>
      <c r="B22" s="228"/>
      <c r="C22" s="228"/>
      <c r="D22" s="228"/>
      <c r="E22" s="229"/>
      <c r="F22" s="248"/>
      <c r="G22" s="228"/>
      <c r="H22" s="228"/>
      <c r="I22" s="228"/>
      <c r="J22" s="229"/>
      <c r="K22" s="248"/>
      <c r="L22" s="228"/>
      <c r="M22" s="228"/>
      <c r="N22" s="228"/>
      <c r="O22" s="229"/>
      <c r="P22" s="248"/>
      <c r="Q22" s="228"/>
      <c r="R22" s="228"/>
      <c r="S22" s="228"/>
      <c r="T22" s="231"/>
      <c r="U22" s="213"/>
      <c r="V22" s="213"/>
      <c r="W22" s="213"/>
      <c r="X22" s="213"/>
      <c r="Y22" s="213"/>
      <c r="Z22" s="213"/>
    </row>
    <row r="23" ht="46.5" customHeight="1" spans="1:26" x14ac:dyDescent="0.25">
      <c r="A23" s="192"/>
      <c r="B23"/>
      <c r="C23"/>
      <c r="D23"/>
      <c r="E23" s="217"/>
      <c r="F23" s="218"/>
      <c r="G23"/>
      <c r="H23"/>
      <c r="I23"/>
      <c r="J23" s="217"/>
      <c r="K23" s="218"/>
      <c r="L23"/>
      <c r="M23"/>
      <c r="N23"/>
      <c r="O23" s="217"/>
      <c r="P23" s="218"/>
      <c r="Q23"/>
      <c r="R23"/>
      <c r="S23"/>
      <c r="T23" s="193"/>
      <c r="U23" s="213"/>
      <c r="V23" s="213"/>
      <c r="W23" s="213"/>
      <c r="X23" s="213"/>
      <c r="Y23" s="213"/>
      <c r="Z23" s="213"/>
    </row>
    <row r="24" ht="46.5" customHeight="1" spans="1:26" x14ac:dyDescent="0.25">
      <c r="A24" s="192"/>
      <c r="B24"/>
      <c r="C24"/>
      <c r="D24"/>
      <c r="E24" s="217"/>
      <c r="F24" s="218"/>
      <c r="G24"/>
      <c r="H24"/>
      <c r="I24"/>
      <c r="J24" s="217"/>
      <c r="K24" s="218"/>
      <c r="L24"/>
      <c r="M24"/>
      <c r="N24"/>
      <c r="O24" s="217"/>
      <c r="P24" s="218"/>
      <c r="Q24"/>
      <c r="R24"/>
      <c r="S24"/>
      <c r="T24" s="193"/>
      <c r="U24" s="213"/>
      <c r="V24" s="213"/>
      <c r="W24" s="213"/>
      <c r="X24" s="213"/>
      <c r="Y24" s="213"/>
      <c r="Z24" s="213"/>
    </row>
    <row r="25" ht="46.5" customHeight="1" spans="1:26" x14ac:dyDescent="0.25">
      <c r="A25" s="192"/>
      <c r="B25"/>
      <c r="C25"/>
      <c r="D25"/>
      <c r="E25" s="217"/>
      <c r="F25" s="218"/>
      <c r="G25"/>
      <c r="H25"/>
      <c r="I25"/>
      <c r="J25" s="217"/>
      <c r="K25" s="218"/>
      <c r="L25"/>
      <c r="M25"/>
      <c r="N25"/>
      <c r="O25" s="217"/>
      <c r="P25" s="218"/>
      <c r="Q25"/>
      <c r="R25"/>
      <c r="S25"/>
      <c r="T25" s="193"/>
      <c r="U25" s="213"/>
      <c r="V25" s="213"/>
      <c r="W25" s="213"/>
      <c r="X25" s="213"/>
      <c r="Y25" s="213"/>
      <c r="Z25" s="213"/>
    </row>
    <row r="26" ht="46.5" customHeight="1" spans="1:26" x14ac:dyDescent="0.25">
      <c r="A26" s="192"/>
      <c r="B26"/>
      <c r="C26"/>
      <c r="D26"/>
      <c r="E26" s="217"/>
      <c r="F26" s="218"/>
      <c r="G26"/>
      <c r="H26"/>
      <c r="I26"/>
      <c r="J26" s="217"/>
      <c r="K26" s="218"/>
      <c r="L26"/>
      <c r="M26"/>
      <c r="N26"/>
      <c r="O26" s="217"/>
      <c r="P26" s="218"/>
      <c r="Q26"/>
      <c r="R26"/>
      <c r="S26"/>
      <c r="T26" s="193"/>
      <c r="U26" s="213"/>
      <c r="V26" s="213"/>
      <c r="W26" s="213"/>
      <c r="X26" s="213"/>
      <c r="Y26" s="213"/>
      <c r="Z26" s="213"/>
    </row>
    <row r="27" ht="46.5" customHeight="1" spans="1:26" x14ac:dyDescent="0.25">
      <c r="A27" s="192"/>
      <c r="B27"/>
      <c r="C27"/>
      <c r="D27"/>
      <c r="E27" s="217"/>
      <c r="F27" s="218"/>
      <c r="G27"/>
      <c r="H27"/>
      <c r="I27"/>
      <c r="J27" s="217"/>
      <c r="K27" s="218"/>
      <c r="L27"/>
      <c r="M27"/>
      <c r="N27"/>
      <c r="O27" s="217"/>
      <c r="P27" s="218"/>
      <c r="Q27"/>
      <c r="R27"/>
      <c r="S27"/>
      <c r="T27" s="193"/>
      <c r="U27" s="213"/>
      <c r="V27" s="213"/>
      <c r="W27" s="213"/>
      <c r="X27" s="213"/>
      <c r="Y27" s="213"/>
      <c r="Z27" s="213"/>
    </row>
    <row r="28" ht="46.5" customHeight="1" spans="1:26" x14ac:dyDescent="0.25">
      <c r="A28" s="192"/>
      <c r="B28"/>
      <c r="C28"/>
      <c r="D28"/>
      <c r="E28" s="217"/>
      <c r="F28" s="218"/>
      <c r="G28"/>
      <c r="H28"/>
      <c r="I28"/>
      <c r="J28" s="217"/>
      <c r="K28" s="218"/>
      <c r="L28"/>
      <c r="M28"/>
      <c r="N28"/>
      <c r="O28" s="217"/>
      <c r="P28" s="218"/>
      <c r="Q28"/>
      <c r="R28"/>
      <c r="S28"/>
      <c r="T28" s="193"/>
      <c r="U28" s="213"/>
      <c r="V28" s="213"/>
      <c r="W28" s="213"/>
      <c r="X28" s="213"/>
      <c r="Y28" s="213"/>
      <c r="Z28" s="213"/>
    </row>
    <row r="29" ht="46.5" customHeight="1" spans="1:26" x14ac:dyDescent="0.25">
      <c r="A29" s="219"/>
      <c r="B29" s="212"/>
      <c r="C29" s="212"/>
      <c r="D29" s="212"/>
      <c r="E29" s="220"/>
      <c r="F29" s="221"/>
      <c r="G29" s="212"/>
      <c r="H29" s="212"/>
      <c r="I29" s="212"/>
      <c r="J29" s="220"/>
      <c r="K29" s="221"/>
      <c r="L29" s="212"/>
      <c r="M29" s="212"/>
      <c r="N29" s="212"/>
      <c r="O29" s="220"/>
      <c r="P29" s="221"/>
      <c r="Q29" s="212"/>
      <c r="R29" s="212"/>
      <c r="S29" s="212"/>
      <c r="T29" s="222"/>
      <c r="U29" s="213"/>
      <c r="V29" s="213"/>
      <c r="W29" s="213"/>
      <c r="X29" s="213"/>
      <c r="Y29" s="213"/>
      <c r="Z29" s="213"/>
    </row>
    <row r="30" ht="46.5" customHeight="1" spans="1:26" x14ac:dyDescent="0.25">
      <c r="A30" s="244" t="s">
        <v>194</v>
      </c>
      <c r="B30" s="245"/>
      <c r="C30" s="4"/>
      <c r="D30" s="4"/>
      <c r="E30" s="5"/>
      <c r="F30" s="246" t="s">
        <v>194</v>
      </c>
      <c r="G30" s="245"/>
      <c r="H30" s="4"/>
      <c r="I30" s="4"/>
      <c r="J30" s="5"/>
      <c r="K30" s="246" t="s">
        <v>194</v>
      </c>
      <c r="L30" s="245"/>
      <c r="M30" s="4"/>
      <c r="N30" s="4"/>
      <c r="O30" s="5"/>
      <c r="P30" s="246" t="s">
        <v>194</v>
      </c>
      <c r="Q30" s="245"/>
      <c r="R30" s="4"/>
      <c r="S30" s="4"/>
      <c r="T30" s="36"/>
      <c r="U30" s="213"/>
      <c r="V30" s="213"/>
      <c r="W30" s="213"/>
      <c r="X30" s="213"/>
      <c r="Y30" s="213"/>
      <c r="Z30" s="213"/>
    </row>
    <row r="31" ht="46.5" customHeight="1" spans="1:26" x14ac:dyDescent="0.25">
      <c r="A31" s="247"/>
      <c r="B31" s="228"/>
      <c r="C31" s="228"/>
      <c r="D31" s="228"/>
      <c r="E31" s="229"/>
      <c r="F31" s="248"/>
      <c r="G31" s="228"/>
      <c r="H31" s="228"/>
      <c r="I31" s="228"/>
      <c r="J31" s="229"/>
      <c r="K31" s="248"/>
      <c r="L31" s="228"/>
      <c r="M31" s="228"/>
      <c r="N31" s="228"/>
      <c r="O31" s="229"/>
      <c r="P31" s="248"/>
      <c r="Q31" s="228"/>
      <c r="R31" s="228"/>
      <c r="S31" s="228"/>
      <c r="T31" s="231"/>
      <c r="U31" s="213"/>
      <c r="V31" s="213"/>
      <c r="W31" s="213"/>
      <c r="X31" s="213"/>
      <c r="Y31" s="213"/>
      <c r="Z31" s="213"/>
    </row>
    <row r="32" ht="46.5" customHeight="1" spans="1:26" x14ac:dyDescent="0.25">
      <c r="A32" s="192"/>
      <c r="B32"/>
      <c r="C32"/>
      <c r="D32"/>
      <c r="E32" s="217"/>
      <c r="F32" s="218"/>
      <c r="G32"/>
      <c r="H32"/>
      <c r="I32"/>
      <c r="J32" s="217"/>
      <c r="K32" s="218"/>
      <c r="L32"/>
      <c r="M32"/>
      <c r="N32"/>
      <c r="O32" s="217"/>
      <c r="P32" s="218"/>
      <c r="Q32"/>
      <c r="R32"/>
      <c r="S32"/>
      <c r="T32" s="193"/>
      <c r="U32" s="213"/>
      <c r="V32" s="213"/>
      <c r="W32" s="213"/>
      <c r="X32" s="213"/>
      <c r="Y32" s="213"/>
      <c r="Z32" s="213"/>
    </row>
    <row r="33" ht="46.5" customHeight="1" spans="1:26" x14ac:dyDescent="0.25">
      <c r="A33" s="192"/>
      <c r="B33"/>
      <c r="C33"/>
      <c r="D33"/>
      <c r="E33" s="217"/>
      <c r="F33" s="218"/>
      <c r="G33"/>
      <c r="H33"/>
      <c r="I33"/>
      <c r="J33" s="217"/>
      <c r="K33" s="218"/>
      <c r="L33"/>
      <c r="M33"/>
      <c r="N33"/>
      <c r="O33" s="217"/>
      <c r="P33" s="218"/>
      <c r="Q33"/>
      <c r="R33"/>
      <c r="S33"/>
      <c r="T33" s="193"/>
      <c r="U33" s="213"/>
      <c r="V33" s="213"/>
      <c r="W33" s="213"/>
      <c r="X33" s="213"/>
      <c r="Y33" s="213"/>
      <c r="Z33" s="213"/>
    </row>
    <row r="34" ht="46.5" customHeight="1" spans="1:26" x14ac:dyDescent="0.25">
      <c r="A34" s="192"/>
      <c r="B34"/>
      <c r="C34"/>
      <c r="D34"/>
      <c r="E34" s="217"/>
      <c r="F34" s="218"/>
      <c r="G34"/>
      <c r="H34"/>
      <c r="I34"/>
      <c r="J34" s="217"/>
      <c r="K34" s="218"/>
      <c r="L34"/>
      <c r="M34"/>
      <c r="N34"/>
      <c r="O34" s="217"/>
      <c r="P34" s="218"/>
      <c r="Q34"/>
      <c r="R34"/>
      <c r="S34"/>
      <c r="T34" s="193"/>
      <c r="U34" s="213"/>
      <c r="V34" s="213"/>
      <c r="W34" s="213"/>
      <c r="X34" s="213"/>
      <c r="Y34" s="213"/>
      <c r="Z34" s="213"/>
    </row>
    <row r="35" ht="46.5" customHeight="1" spans="1:26" x14ac:dyDescent="0.25">
      <c r="A35" s="192"/>
      <c r="B35"/>
      <c r="C35"/>
      <c r="D35"/>
      <c r="E35" s="217"/>
      <c r="F35" s="218"/>
      <c r="G35"/>
      <c r="H35"/>
      <c r="I35"/>
      <c r="J35" s="217"/>
      <c r="K35" s="218"/>
      <c r="L35"/>
      <c r="M35"/>
      <c r="N35"/>
      <c r="O35" s="217"/>
      <c r="P35" s="218"/>
      <c r="Q35"/>
      <c r="R35"/>
      <c r="S35"/>
      <c r="T35" s="193"/>
      <c r="U35" s="213"/>
      <c r="V35" s="213"/>
      <c r="W35" s="213"/>
      <c r="X35" s="213"/>
      <c r="Y35" s="213"/>
      <c r="Z35" s="213"/>
    </row>
    <row r="36" ht="46.5" customHeight="1" spans="1:26" x14ac:dyDescent="0.25">
      <c r="A36" s="192"/>
      <c r="B36"/>
      <c r="C36"/>
      <c r="D36"/>
      <c r="E36" s="217"/>
      <c r="F36" s="218"/>
      <c r="G36"/>
      <c r="H36"/>
      <c r="I36"/>
      <c r="J36" s="217"/>
      <c r="K36" s="218"/>
      <c r="L36"/>
      <c r="M36"/>
      <c r="N36"/>
      <c r="O36" s="217"/>
      <c r="P36" s="218"/>
      <c r="Q36"/>
      <c r="R36"/>
      <c r="S36"/>
      <c r="T36" s="193"/>
      <c r="U36" s="213"/>
      <c r="V36" s="213"/>
      <c r="W36" s="213"/>
      <c r="X36" s="213"/>
      <c r="Y36" s="213"/>
      <c r="Z36" s="213"/>
    </row>
    <row r="37" ht="46.5" customHeight="1" spans="1:26" x14ac:dyDescent="0.25">
      <c r="A37" s="192"/>
      <c r="B37"/>
      <c r="C37"/>
      <c r="D37"/>
      <c r="E37" s="217"/>
      <c r="F37" s="218"/>
      <c r="G37"/>
      <c r="H37"/>
      <c r="I37"/>
      <c r="J37" s="217"/>
      <c r="K37" s="218"/>
      <c r="L37"/>
      <c r="M37"/>
      <c r="N37"/>
      <c r="O37" s="217"/>
      <c r="P37" s="218"/>
      <c r="Q37"/>
      <c r="R37"/>
      <c r="S37"/>
      <c r="T37" s="193"/>
      <c r="U37" s="213"/>
      <c r="V37" s="213"/>
      <c r="W37" s="213"/>
      <c r="X37" s="213"/>
      <c r="Y37" s="213"/>
      <c r="Z37" s="213"/>
    </row>
    <row r="38" ht="46.5" customHeight="1" spans="1:26" x14ac:dyDescent="0.25">
      <c r="A38" s="219"/>
      <c r="B38" s="212"/>
      <c r="C38" s="212"/>
      <c r="D38" s="212"/>
      <c r="E38" s="220"/>
      <c r="F38" s="221"/>
      <c r="G38" s="212"/>
      <c r="H38" s="212"/>
      <c r="I38" s="212"/>
      <c r="J38" s="220"/>
      <c r="K38" s="221"/>
      <c r="L38" s="212"/>
      <c r="M38" s="212"/>
      <c r="N38" s="212"/>
      <c r="O38" s="220"/>
      <c r="P38" s="221"/>
      <c r="Q38" s="212"/>
      <c r="R38" s="212"/>
      <c r="S38" s="212"/>
      <c r="T38" s="222"/>
      <c r="U38" s="213"/>
      <c r="V38" s="213"/>
      <c r="W38" s="213"/>
      <c r="X38" s="213"/>
      <c r="Y38" s="213"/>
      <c r="Z38" s="213"/>
    </row>
    <row r="39" ht="46.5" customHeight="1" spans="1:26" x14ac:dyDescent="0.25">
      <c r="A39" s="249" t="s">
        <v>194</v>
      </c>
      <c r="B39" s="250"/>
      <c r="C39" s="137"/>
      <c r="D39" s="137"/>
      <c r="E39" s="40"/>
      <c r="F39" s="251" t="s">
        <v>194</v>
      </c>
      <c r="G39" s="250"/>
      <c r="H39" s="137"/>
      <c r="I39" s="137"/>
      <c r="J39" s="40"/>
      <c r="K39" s="251" t="s">
        <v>194</v>
      </c>
      <c r="L39" s="250"/>
      <c r="M39" s="137"/>
      <c r="N39" s="137"/>
      <c r="O39" s="40"/>
      <c r="P39" s="251" t="s">
        <v>194</v>
      </c>
      <c r="Q39" s="250"/>
      <c r="R39" s="137"/>
      <c r="S39" s="137"/>
      <c r="T39" s="142"/>
      <c r="U39" s="213"/>
      <c r="V39" s="213"/>
      <c r="W39" s="213"/>
      <c r="X39" s="213"/>
      <c r="Y39" s="213"/>
      <c r="Z39" s="213"/>
    </row>
    <row r="40" ht="13.5" customHeight="1" spans="1:26" x14ac:dyDescent="0.25">
      <c r="A40" s="23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s="213"/>
      <c r="V40" s="213"/>
      <c r="W40" s="213"/>
      <c r="X40" s="213"/>
      <c r="Y40" s="213"/>
      <c r="Z40" s="213"/>
    </row>
    <row r="41" ht="13.5" customHeight="1" spans="1:26" x14ac:dyDescent="0.25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ht="13.5" customHeight="1" spans="1:26" x14ac:dyDescent="0.25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ht="13.5" customHeight="1" spans="1:26" x14ac:dyDescent="0.25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ht="13.5" customHeight="1" spans="1:26" x14ac:dyDescent="0.25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ht="13.5" customHeight="1" spans="1:26" x14ac:dyDescent="0.2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ht="13.5" customHeight="1" spans="1:26" x14ac:dyDescent="0.25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ht="13.5" customHeight="1" spans="1:26" x14ac:dyDescent="0.25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ht="13.5" customHeight="1" spans="1:26" x14ac:dyDescent="0.25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ht="13.5" customHeight="1" spans="1:26" x14ac:dyDescent="0.25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ht="13.5" customHeight="1" spans="1:26" x14ac:dyDescent="0.25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ht="13.5" customHeight="1" spans="1:26" x14ac:dyDescent="0.25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ht="13.5" customHeight="1" spans="1:26" x14ac:dyDescent="0.25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ht="13.5" customHeight="1" spans="1:26" x14ac:dyDescent="0.25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ht="13.5" customHeight="1" spans="1:26" x14ac:dyDescent="0.25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ht="13.5" customHeight="1" spans="1:26" x14ac:dyDescent="0.25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ht="13.5" customHeight="1" spans="1:26" x14ac:dyDescent="0.25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ht="13.5" customHeight="1" spans="1:26" x14ac:dyDescent="0.25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ht="13.5" customHeight="1" spans="1:26" x14ac:dyDescent="0.25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ht="13.5" customHeight="1" spans="1:26" x14ac:dyDescent="0.25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ht="13.5" customHeight="1" spans="1:26" x14ac:dyDescent="0.25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ht="13.5" customHeight="1" spans="1:26" x14ac:dyDescent="0.25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ht="13.5" customHeight="1" spans="1:26" x14ac:dyDescent="0.25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ht="13.5" customHeight="1" spans="1:26" x14ac:dyDescent="0.25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ht="13.5" customHeight="1" spans="1:26" x14ac:dyDescent="0.25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ht="13.5" customHeight="1" spans="1:26" x14ac:dyDescent="0.2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ht="13.5" customHeight="1" spans="1:26" x14ac:dyDescent="0.25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ht="13.5" customHeight="1" spans="1:26" x14ac:dyDescent="0.25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ht="13.5" customHeight="1" spans="1:26" x14ac:dyDescent="0.25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ht="13.5" customHeight="1" spans="1:26" x14ac:dyDescent="0.25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ht="13.5" customHeight="1" spans="1:26" x14ac:dyDescent="0.25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ht="13.5" customHeight="1" spans="1:26" x14ac:dyDescent="0.25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ht="13.5" customHeight="1" spans="1:26" x14ac:dyDescent="0.25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ht="13.5" customHeight="1" spans="1:26" x14ac:dyDescent="0.25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ht="13.5" customHeight="1" spans="1:26" x14ac:dyDescent="0.25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ht="13.5" customHeight="1" spans="1:26" x14ac:dyDescent="0.2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ht="13.5" customHeight="1" spans="1:26" x14ac:dyDescent="0.25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ht="13.5" customHeight="1" spans="1:26" x14ac:dyDescent="0.25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ht="13.5" customHeight="1" spans="1:26" x14ac:dyDescent="0.25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ht="13.5" customHeight="1" spans="1:26" x14ac:dyDescent="0.25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ht="13.5" customHeight="1" spans="1:26" x14ac:dyDescent="0.25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ht="13.5" customHeight="1" spans="1:26" x14ac:dyDescent="0.25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ht="13.5" customHeight="1" spans="1:26" x14ac:dyDescent="0.25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ht="13.5" customHeight="1" spans="1:26" x14ac:dyDescent="0.25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ht="13.5" customHeight="1" spans="1:26" x14ac:dyDescent="0.25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ht="13.5" customHeight="1" spans="1:26" x14ac:dyDescent="0.2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ht="13.5" customHeight="1" spans="1:26" x14ac:dyDescent="0.25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ht="13.5" customHeight="1" spans="1:26" x14ac:dyDescent="0.25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ht="13.5" customHeight="1" spans="1:26" x14ac:dyDescent="0.25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ht="13.5" customHeight="1" spans="1:26" x14ac:dyDescent="0.25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ht="13.5" customHeight="1" spans="1:26" x14ac:dyDescent="0.25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ht="13.5" customHeight="1" spans="1:26" x14ac:dyDescent="0.25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ht="13.5" customHeight="1" spans="1:26" x14ac:dyDescent="0.25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ht="13.5" customHeight="1" spans="1:26" x14ac:dyDescent="0.25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ht="13.5" customHeight="1" spans="1:26" x14ac:dyDescent="0.25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ht="13.5" customHeight="1" spans="1:26" x14ac:dyDescent="0.2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ht="13.5" customHeight="1" spans="1:26" x14ac:dyDescent="0.25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ht="13.5" customHeight="1" spans="1:26" x14ac:dyDescent="0.25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ht="13.5" customHeight="1" spans="1:26" x14ac:dyDescent="0.25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ht="13.5" customHeight="1" spans="1:26" x14ac:dyDescent="0.25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ht="13.5" customHeight="1" spans="1:26" x14ac:dyDescent="0.25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13.5" customHeight="1" spans="1:26" x14ac:dyDescent="0.25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13.5" customHeight="1" spans="1:26" x14ac:dyDescent="0.25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13.5" customHeight="1" spans="1:26" x14ac:dyDescent="0.25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13.5" customHeight="1" spans="1:26" x14ac:dyDescent="0.25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13.5" customHeight="1" spans="1:26" x14ac:dyDescent="0.2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ht="13.5" customHeight="1" spans="1:26" x14ac:dyDescent="0.25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ht="13.5" customHeight="1" spans="1:26" x14ac:dyDescent="0.25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ht="13.5" customHeight="1" spans="1:26" x14ac:dyDescent="0.25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ht="13.5" customHeight="1" spans="1:26" x14ac:dyDescent="0.25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ht="13.5" customHeight="1" spans="1:26" x14ac:dyDescent="0.25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ht="13.5" customHeight="1" spans="1:26" x14ac:dyDescent="0.25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ht="13.5" customHeight="1" spans="1:26" x14ac:dyDescent="0.25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ht="13.5" customHeight="1" spans="1:26" x14ac:dyDescent="0.25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ht="13.5" customHeight="1" spans="1:26" x14ac:dyDescent="0.25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ht="13.5" customHeight="1" spans="1:26" x14ac:dyDescent="0.2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ht="13.5" customHeight="1" spans="1:26" x14ac:dyDescent="0.25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ht="13.5" customHeight="1" spans="1:26" x14ac:dyDescent="0.25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ht="13.5" customHeight="1" spans="1:26" x14ac:dyDescent="0.25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ht="13.5" customHeight="1" spans="1:26" x14ac:dyDescent="0.25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ht="13.5" customHeight="1" spans="1:26" x14ac:dyDescent="0.25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ht="13.5" customHeight="1" spans="1:26" x14ac:dyDescent="0.25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ht="13.5" customHeight="1" spans="1:26" x14ac:dyDescent="0.25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ht="13.5" customHeight="1" spans="1:26" x14ac:dyDescent="0.25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ht="13.5" customHeight="1" spans="1:26" x14ac:dyDescent="0.25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ht="13.5" customHeight="1" spans="1:26" x14ac:dyDescent="0.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ht="13.5" customHeight="1" spans="1:26" x14ac:dyDescent="0.25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ht="13.5" customHeight="1" spans="1:26" x14ac:dyDescent="0.25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ht="13.5" customHeight="1" spans="1:26" x14ac:dyDescent="0.25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ht="13.5" customHeight="1" spans="1:26" x14ac:dyDescent="0.25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ht="13.5" customHeight="1" spans="1:26" x14ac:dyDescent="0.25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ht="13.5" customHeight="1" spans="1:26" x14ac:dyDescent="0.25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ht="13.5" customHeight="1" spans="1:26" x14ac:dyDescent="0.25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ht="13.5" customHeight="1" spans="1:26" x14ac:dyDescent="0.25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ht="13.5" customHeight="1" spans="1:26" x14ac:dyDescent="0.25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ht="13.5" customHeight="1" spans="1:26" x14ac:dyDescent="0.2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ht="13.5" customHeight="1" spans="1:26" x14ac:dyDescent="0.25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ht="13.5" customHeight="1" spans="1:26" x14ac:dyDescent="0.25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ht="13.5" customHeight="1" spans="1:26" x14ac:dyDescent="0.25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ht="13.5" customHeight="1" spans="1:26" x14ac:dyDescent="0.25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ht="13.5" customHeight="1" spans="1:26" x14ac:dyDescent="0.25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ht="13.5" customHeight="1" spans="1:26" x14ac:dyDescent="0.25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ht="13.5" customHeight="1" spans="1:26" x14ac:dyDescent="0.25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ht="13.5" customHeight="1" spans="1:26" x14ac:dyDescent="0.25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ht="13.5" customHeight="1" spans="1:26" x14ac:dyDescent="0.25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ht="13.5" customHeight="1" spans="1:26" x14ac:dyDescent="0.2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ht="13.5" customHeight="1" spans="1:26" x14ac:dyDescent="0.25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ht="13.5" customHeight="1" spans="1:26" x14ac:dyDescent="0.25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ht="13.5" customHeight="1" spans="1:26" x14ac:dyDescent="0.25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ht="13.5" customHeight="1" spans="1:26" x14ac:dyDescent="0.25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ht="13.5" customHeight="1" spans="1:26" x14ac:dyDescent="0.25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ht="13.5" customHeight="1" spans="1:26" x14ac:dyDescent="0.25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ht="13.5" customHeight="1" spans="1:26" x14ac:dyDescent="0.25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ht="13.5" customHeight="1" spans="1:26" x14ac:dyDescent="0.25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ht="13.5" customHeight="1" spans="1:26" x14ac:dyDescent="0.25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ht="13.5" customHeight="1" spans="1:26" x14ac:dyDescent="0.2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ht="13.5" customHeight="1" spans="1:26" x14ac:dyDescent="0.25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ht="13.5" customHeight="1" spans="1:26" x14ac:dyDescent="0.25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ht="13.5" customHeight="1" spans="1:26" x14ac:dyDescent="0.25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ht="13.5" customHeight="1" spans="1:26" x14ac:dyDescent="0.25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ht="13.5" customHeight="1" spans="1:26" x14ac:dyDescent="0.25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ht="13.5" customHeight="1" spans="1:26" x14ac:dyDescent="0.25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ht="13.5" customHeight="1" spans="1:26" x14ac:dyDescent="0.25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ht="13.5" customHeight="1" spans="1:26" x14ac:dyDescent="0.25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ht="13.5" customHeight="1" spans="1:26" x14ac:dyDescent="0.25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ht="13.5" customHeight="1" spans="1:26" x14ac:dyDescent="0.2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ht="13.5" customHeight="1" spans="1:26" x14ac:dyDescent="0.25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ht="13.5" customHeight="1" spans="1:26" x14ac:dyDescent="0.25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ht="13.5" customHeight="1" spans="1:26" x14ac:dyDescent="0.25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ht="13.5" customHeight="1" spans="1:26" x14ac:dyDescent="0.25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ht="13.5" customHeight="1" spans="1:26" x14ac:dyDescent="0.25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ht="13.5" customHeight="1" spans="1:26" x14ac:dyDescent="0.25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ht="13.5" customHeight="1" spans="1:26" x14ac:dyDescent="0.25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ht="13.5" customHeight="1" spans="1:26" x14ac:dyDescent="0.25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ht="13.5" customHeight="1" spans="1:26" x14ac:dyDescent="0.25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ht="13.5" customHeight="1" spans="1:26" x14ac:dyDescent="0.2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ht="13.5" customHeight="1" spans="1:26" x14ac:dyDescent="0.25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ht="13.5" customHeight="1" spans="1:26" x14ac:dyDescent="0.25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ht="13.5" customHeight="1" spans="1:26" x14ac:dyDescent="0.25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ht="13.5" customHeight="1" spans="1:26" x14ac:dyDescent="0.25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ht="13.5" customHeight="1" spans="1:26" x14ac:dyDescent="0.25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ht="13.5" customHeight="1" spans="1:26" x14ac:dyDescent="0.25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ht="13.5" customHeight="1" spans="1:26" x14ac:dyDescent="0.25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ht="13.5" customHeight="1" spans="1:26" x14ac:dyDescent="0.25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ht="13.5" customHeight="1" spans="1:26" x14ac:dyDescent="0.25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ht="13.5" customHeight="1" spans="1:26" x14ac:dyDescent="0.2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ht="13.5" customHeight="1" spans="1:26" x14ac:dyDescent="0.25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ht="13.5" customHeight="1" spans="1:26" x14ac:dyDescent="0.25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ht="13.5" customHeight="1" spans="1:26" x14ac:dyDescent="0.25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ht="13.5" customHeight="1" spans="1:26" x14ac:dyDescent="0.25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ht="13.5" customHeight="1" spans="1:26" x14ac:dyDescent="0.25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ht="13.5" customHeight="1" spans="1:26" x14ac:dyDescent="0.25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ht="13.5" customHeight="1" spans="1:26" x14ac:dyDescent="0.25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ht="13.5" customHeight="1" spans="1:26" x14ac:dyDescent="0.25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ht="13.5" customHeight="1" spans="1:26" x14ac:dyDescent="0.25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ht="13.5" customHeight="1" spans="1:26" x14ac:dyDescent="0.2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ht="13.5" customHeight="1" spans="1:26" x14ac:dyDescent="0.25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ht="13.5" customHeight="1" spans="1:26" x14ac:dyDescent="0.25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ht="13.5" customHeight="1" spans="1:26" x14ac:dyDescent="0.25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ht="13.5" customHeight="1" spans="1:26" x14ac:dyDescent="0.25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ht="13.5" customHeight="1" spans="1:26" x14ac:dyDescent="0.25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ht="13.5" customHeight="1" spans="1:26" x14ac:dyDescent="0.25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ht="13.5" customHeight="1" spans="1:26" x14ac:dyDescent="0.25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ht="13.5" customHeight="1" spans="1:26" x14ac:dyDescent="0.25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ht="13.5" customHeight="1" spans="1:26" x14ac:dyDescent="0.25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ht="13.5" customHeight="1" spans="1:26" x14ac:dyDescent="0.2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ht="13.5" customHeight="1" spans="1:26" x14ac:dyDescent="0.25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ht="13.5" customHeight="1" spans="1:26" x14ac:dyDescent="0.25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ht="13.5" customHeight="1" spans="1:26" x14ac:dyDescent="0.25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ht="13.5" customHeight="1" spans="1:26" x14ac:dyDescent="0.25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ht="13.5" customHeight="1" spans="1:26" x14ac:dyDescent="0.25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ht="13.5" customHeight="1" spans="1:26" x14ac:dyDescent="0.25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ht="13.5" customHeight="1" spans="1:26" x14ac:dyDescent="0.25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ht="13.5" customHeight="1" spans="1:26" x14ac:dyDescent="0.25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ht="13.5" customHeight="1" spans="1:26" x14ac:dyDescent="0.25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ht="13.5" customHeight="1" spans="1:26" x14ac:dyDescent="0.2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ht="13.5" customHeight="1" spans="1:26" x14ac:dyDescent="0.25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ht="13.5" customHeight="1" spans="1:26" x14ac:dyDescent="0.25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ht="13.5" customHeight="1" spans="1:26" x14ac:dyDescent="0.25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ht="13.5" customHeight="1" spans="1:26" x14ac:dyDescent="0.25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ht="13.5" customHeight="1" spans="1:26" x14ac:dyDescent="0.25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ht="13.5" customHeight="1" spans="1:26" x14ac:dyDescent="0.25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ht="13.5" customHeight="1" spans="1:26" x14ac:dyDescent="0.25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ht="13.5" customHeight="1" spans="1:26" x14ac:dyDescent="0.25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ht="13.5" customHeight="1" spans="1:26" x14ac:dyDescent="0.25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ht="13.5" customHeight="1" spans="1:26" x14ac:dyDescent="0.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ht="13.5" customHeight="1" spans="1:26" x14ac:dyDescent="0.25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ht="13.5" customHeight="1" spans="1:26" x14ac:dyDescent="0.25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ht="13.5" customHeight="1" spans="1:26" x14ac:dyDescent="0.25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ht="13.5" customHeight="1" spans="1:26" x14ac:dyDescent="0.25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ht="13.5" customHeight="1" spans="1:26" x14ac:dyDescent="0.25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ht="13.5" customHeight="1" spans="1:26" x14ac:dyDescent="0.25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ht="13.5" customHeight="1" spans="1:26" x14ac:dyDescent="0.25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ht="13.5" customHeight="1" spans="1:26" x14ac:dyDescent="0.25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ht="13.5" customHeight="1" spans="1:26" x14ac:dyDescent="0.25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ht="13.5" customHeight="1" spans="1:26" x14ac:dyDescent="0.2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ht="13.5" customHeight="1" spans="1:26" x14ac:dyDescent="0.25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ht="13.5" customHeight="1" spans="1:26" x14ac:dyDescent="0.25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ht="13.5" customHeight="1" spans="1:26" x14ac:dyDescent="0.25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ht="13.5" customHeight="1" spans="1:26" x14ac:dyDescent="0.25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ht="13.5" customHeight="1" spans="1:26" x14ac:dyDescent="0.25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ht="13.5" customHeight="1" spans="1:26" x14ac:dyDescent="0.25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ht="13.5" customHeight="1" spans="1:26" x14ac:dyDescent="0.25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ht="13.5" customHeight="1" spans="1:26" x14ac:dyDescent="0.25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ht="13.5" customHeight="1" spans="1:26" x14ac:dyDescent="0.25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ht="13.5" customHeight="1" spans="1:26" x14ac:dyDescent="0.2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ht="13.5" customHeight="1" spans="1:26" x14ac:dyDescent="0.25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ht="13.5" customHeight="1" spans="1:26" x14ac:dyDescent="0.25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ht="13.5" customHeight="1" spans="1:26" x14ac:dyDescent="0.25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ht="13.5" customHeight="1" spans="1:26" x14ac:dyDescent="0.25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ht="13.5" customHeight="1" spans="1:26" x14ac:dyDescent="0.25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ht="13.5" customHeight="1" spans="1:26" x14ac:dyDescent="0.25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ht="13.5" customHeight="1" spans="1:26" x14ac:dyDescent="0.25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ht="13.5" customHeight="1" spans="1:26" x14ac:dyDescent="0.25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ht="13.5" customHeight="1" spans="1:26" x14ac:dyDescent="0.25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ht="13.5" customHeight="1" spans="1:26" x14ac:dyDescent="0.2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ht="13.5" customHeight="1" spans="1:26" x14ac:dyDescent="0.25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ht="13.5" customHeight="1" spans="1:26" x14ac:dyDescent="0.25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ht="13.5" customHeight="1" spans="1:26" x14ac:dyDescent="0.25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ht="13.5" customHeight="1" spans="1:26" x14ac:dyDescent="0.25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ht="13.5" customHeight="1" spans="1:26" x14ac:dyDescent="0.25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ht="13.5" customHeight="1" spans="1:26" x14ac:dyDescent="0.25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ht="13.5" customHeight="1" spans="1:26" x14ac:dyDescent="0.25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ht="13.5" customHeight="1" spans="1:26" x14ac:dyDescent="0.25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ht="13.5" customHeight="1" spans="1:26" x14ac:dyDescent="0.25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ht="13.5" customHeight="1" spans="1:26" x14ac:dyDescent="0.2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ht="13.5" customHeight="1" spans="1:26" x14ac:dyDescent="0.25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ht="13.5" customHeight="1" spans="1:26" x14ac:dyDescent="0.25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ht="13.5" customHeight="1" spans="1:26" x14ac:dyDescent="0.25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ht="13.5" customHeight="1" spans="1:26" x14ac:dyDescent="0.25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ht="13.5" customHeight="1" spans="1:26" x14ac:dyDescent="0.25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ht="13.5" customHeight="1" spans="1:26" x14ac:dyDescent="0.25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ht="13.5" customHeight="1" spans="1:26" x14ac:dyDescent="0.25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ht="13.5" customHeight="1" spans="1:26" x14ac:dyDescent="0.25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ht="13.5" customHeight="1" spans="1:26" x14ac:dyDescent="0.25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ht="13.5" customHeight="1" spans="1:26" x14ac:dyDescent="0.2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ht="13.5" customHeight="1" spans="1:26" x14ac:dyDescent="0.25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ht="13.5" customHeight="1" spans="1:26" x14ac:dyDescent="0.25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ht="13.5" customHeight="1" spans="1:26" x14ac:dyDescent="0.25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ht="13.5" customHeight="1" spans="1:26" x14ac:dyDescent="0.25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ht="13.5" customHeight="1" spans="1:26" x14ac:dyDescent="0.25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ht="13.5" customHeight="1" spans="1:26" x14ac:dyDescent="0.25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ht="13.5" customHeight="1" spans="1:26" x14ac:dyDescent="0.25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ht="13.5" customHeight="1" spans="1:26" x14ac:dyDescent="0.25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ht="13.5" customHeight="1" spans="1:26" x14ac:dyDescent="0.25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ht="13.5" customHeight="1" spans="1:26" x14ac:dyDescent="0.2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ht="13.5" customHeight="1" spans="1:26" x14ac:dyDescent="0.25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ht="13.5" customHeight="1" spans="1:26" x14ac:dyDescent="0.25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ht="13.5" customHeight="1" spans="1:26" x14ac:dyDescent="0.25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ht="13.5" customHeight="1" spans="1:26" x14ac:dyDescent="0.25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ht="13.5" customHeight="1" spans="1:26" x14ac:dyDescent="0.25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ht="13.5" customHeight="1" spans="1:26" x14ac:dyDescent="0.25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ht="13.5" customHeight="1" spans="1:26" x14ac:dyDescent="0.25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ht="13.5" customHeight="1" spans="1:26" x14ac:dyDescent="0.25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ht="13.5" customHeight="1" spans="1:26" x14ac:dyDescent="0.25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ht="13.5" customHeight="1" spans="1:26" x14ac:dyDescent="0.2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ht="13.5" customHeight="1" spans="1:26" x14ac:dyDescent="0.25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ht="13.5" customHeight="1" spans="1:26" x14ac:dyDescent="0.25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ht="13.5" customHeight="1" spans="1:26" x14ac:dyDescent="0.25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ht="13.5" customHeight="1" spans="1:26" x14ac:dyDescent="0.25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ht="13.5" customHeight="1" spans="1:26" x14ac:dyDescent="0.25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ht="13.5" customHeight="1" spans="1:26" x14ac:dyDescent="0.25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ht="13.5" customHeight="1" spans="1:26" x14ac:dyDescent="0.25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13.5" customHeight="1" spans="1:26" x14ac:dyDescent="0.25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13.5" customHeight="1" spans="1:26" x14ac:dyDescent="0.25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ht="13.5" customHeight="1" spans="1:26" x14ac:dyDescent="0.2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ht="13.5" customHeight="1" spans="1:26" x14ac:dyDescent="0.25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13.5" customHeight="1" spans="1:26" x14ac:dyDescent="0.25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13.5" customHeight="1" spans="1:26" x14ac:dyDescent="0.25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ht="13.5" customHeight="1" spans="1:26" x14ac:dyDescent="0.25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ht="13.5" customHeight="1" spans="1:26" x14ac:dyDescent="0.25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ht="13.5" customHeight="1" spans="1:26" x14ac:dyDescent="0.25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ht="13.5" customHeight="1" spans="1:26" x14ac:dyDescent="0.25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ht="13.5" customHeight="1" spans="1:26" x14ac:dyDescent="0.25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ht="13.5" customHeight="1" spans="1:26" x14ac:dyDescent="0.25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ht="13.5" customHeight="1" spans="1:26" x14ac:dyDescent="0.2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ht="13.5" customHeight="1" spans="1:26" x14ac:dyDescent="0.25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ht="13.5" customHeight="1" spans="1:26" x14ac:dyDescent="0.25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ht="13.5" customHeight="1" spans="1:26" x14ac:dyDescent="0.25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ht="13.5" customHeight="1" spans="1:26" x14ac:dyDescent="0.25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ht="13.5" customHeight="1" spans="1:26" x14ac:dyDescent="0.25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ht="13.5" customHeight="1" spans="1:26" x14ac:dyDescent="0.25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ht="13.5" customHeight="1" spans="1:26" x14ac:dyDescent="0.25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ht="13.5" customHeight="1" spans="1:26" x14ac:dyDescent="0.25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ht="13.5" customHeight="1" spans="1:26" x14ac:dyDescent="0.25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ht="13.5" customHeight="1" spans="1:26" x14ac:dyDescent="0.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ht="13.5" customHeight="1" spans="1:26" x14ac:dyDescent="0.25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ht="13.5" customHeight="1" spans="1:26" x14ac:dyDescent="0.25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ht="13.5" customHeight="1" spans="1:26" x14ac:dyDescent="0.25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ht="13.5" customHeight="1" spans="1:26" x14ac:dyDescent="0.25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ht="13.5" customHeight="1" spans="1:26" x14ac:dyDescent="0.25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ht="13.5" customHeight="1" spans="1:26" x14ac:dyDescent="0.25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ht="13.5" customHeight="1" spans="1:26" x14ac:dyDescent="0.25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ht="13.5" customHeight="1" spans="1:26" x14ac:dyDescent="0.25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ht="13.5" customHeight="1" spans="1:26" x14ac:dyDescent="0.25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ht="13.5" customHeight="1" spans="1:26" x14ac:dyDescent="0.2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ht="13.5" customHeight="1" spans="1:26" x14ac:dyDescent="0.25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ht="13.5" customHeight="1" spans="1:26" x14ac:dyDescent="0.25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ht="13.5" customHeight="1" spans="1:26" x14ac:dyDescent="0.25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ht="13.5" customHeight="1" spans="1:26" x14ac:dyDescent="0.25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ht="13.5" customHeight="1" spans="1:26" x14ac:dyDescent="0.25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ht="13.5" customHeight="1" spans="1:26" x14ac:dyDescent="0.25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ht="13.5" customHeight="1" spans="1:26" x14ac:dyDescent="0.25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ht="13.5" customHeight="1" spans="1:26" x14ac:dyDescent="0.25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ht="13.5" customHeight="1" spans="1:26" x14ac:dyDescent="0.25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ht="13.5" customHeight="1" spans="1:26" x14ac:dyDescent="0.2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ht="13.5" customHeight="1" spans="1:26" x14ac:dyDescent="0.25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ht="13.5" customHeight="1" spans="1:26" x14ac:dyDescent="0.25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ht="13.5" customHeight="1" spans="1:26" x14ac:dyDescent="0.25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ht="13.5" customHeight="1" spans="1:26" x14ac:dyDescent="0.25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ht="13.5" customHeight="1" spans="1:26" x14ac:dyDescent="0.25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ht="13.5" customHeight="1" spans="1:26" x14ac:dyDescent="0.25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ht="13.5" customHeight="1" spans="1:26" x14ac:dyDescent="0.25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ht="13.5" customHeight="1" spans="1:26" x14ac:dyDescent="0.25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ht="13.5" customHeight="1" spans="1:26" x14ac:dyDescent="0.25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ht="13.5" customHeight="1" spans="1:26" x14ac:dyDescent="0.2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ht="13.5" customHeight="1" spans="1:26" x14ac:dyDescent="0.25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ht="13.5" customHeight="1" spans="1:26" x14ac:dyDescent="0.25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ht="13.5" customHeight="1" spans="1:26" x14ac:dyDescent="0.25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ht="13.5" customHeight="1" spans="1:26" x14ac:dyDescent="0.25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ht="13.5" customHeight="1" spans="1:26" x14ac:dyDescent="0.25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ht="13.5" customHeight="1" spans="1:26" x14ac:dyDescent="0.25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ht="13.5" customHeight="1" spans="1:26" x14ac:dyDescent="0.25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ht="13.5" customHeight="1" spans="1:26" x14ac:dyDescent="0.25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ht="13.5" customHeight="1" spans="1:26" x14ac:dyDescent="0.25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ht="13.5" customHeight="1" spans="1:26" x14ac:dyDescent="0.2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ht="13.5" customHeight="1" spans="1:26" x14ac:dyDescent="0.25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ht="13.5" customHeight="1" spans="1:26" x14ac:dyDescent="0.25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ht="13.5" customHeight="1" spans="1:26" x14ac:dyDescent="0.25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ht="13.5" customHeight="1" spans="1:26" x14ac:dyDescent="0.25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ht="13.5" customHeight="1" spans="1:26" x14ac:dyDescent="0.25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ht="13.5" customHeight="1" spans="1:26" x14ac:dyDescent="0.25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ht="13.5" customHeight="1" spans="1:26" x14ac:dyDescent="0.25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ht="13.5" customHeight="1" spans="1:26" x14ac:dyDescent="0.25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ht="13.5" customHeight="1" spans="1:26" x14ac:dyDescent="0.25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ht="13.5" customHeight="1" spans="1:26" x14ac:dyDescent="0.2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ht="13.5" customHeight="1" spans="1:26" x14ac:dyDescent="0.25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ht="13.5" customHeight="1" spans="1:26" x14ac:dyDescent="0.25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ht="13.5" customHeight="1" spans="1:26" x14ac:dyDescent="0.25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ht="13.5" customHeight="1" spans="1:26" x14ac:dyDescent="0.25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ht="13.5" customHeight="1" spans="1:26" x14ac:dyDescent="0.25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ht="13.5" customHeight="1" spans="1:26" x14ac:dyDescent="0.25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ht="13.5" customHeight="1" spans="1:26" x14ac:dyDescent="0.25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ht="13.5" customHeight="1" spans="1:26" x14ac:dyDescent="0.25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ht="13.5" customHeight="1" spans="1:26" x14ac:dyDescent="0.25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ht="13.5" customHeight="1" spans="1:26" x14ac:dyDescent="0.2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ht="13.5" customHeight="1" spans="1:26" x14ac:dyDescent="0.25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ht="13.5" customHeight="1" spans="1:26" x14ac:dyDescent="0.25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ht="13.5" customHeight="1" spans="1:26" x14ac:dyDescent="0.25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ht="13.5" customHeight="1" spans="1:26" x14ac:dyDescent="0.25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ht="13.5" customHeight="1" spans="1:26" x14ac:dyDescent="0.25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ht="13.5" customHeight="1" spans="1:26" x14ac:dyDescent="0.25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ht="13.5" customHeight="1" spans="1:26" x14ac:dyDescent="0.25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ht="13.5" customHeight="1" spans="1:26" x14ac:dyDescent="0.25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ht="13.5" customHeight="1" spans="1:26" x14ac:dyDescent="0.25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ht="13.5" customHeight="1" spans="1:26" x14ac:dyDescent="0.2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ht="13.5" customHeight="1" spans="1:26" x14ac:dyDescent="0.25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ht="13.5" customHeight="1" spans="1:26" x14ac:dyDescent="0.25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ht="13.5" customHeight="1" spans="1:26" x14ac:dyDescent="0.25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ht="13.5" customHeight="1" spans="1:26" x14ac:dyDescent="0.25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ht="13.5" customHeight="1" spans="1:26" x14ac:dyDescent="0.25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ht="13.5" customHeight="1" spans="1:26" x14ac:dyDescent="0.25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ht="13.5" customHeight="1" spans="1:26" x14ac:dyDescent="0.25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ht="13.5" customHeight="1" spans="1:26" x14ac:dyDescent="0.25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ht="13.5" customHeight="1" spans="1:26" x14ac:dyDescent="0.25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ht="13.5" customHeight="1" spans="1:26" x14ac:dyDescent="0.2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ht="13.5" customHeight="1" spans="1:26" x14ac:dyDescent="0.25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ht="13.5" customHeight="1" spans="1:26" x14ac:dyDescent="0.25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ht="13.5" customHeight="1" spans="1:26" x14ac:dyDescent="0.25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ht="13.5" customHeight="1" spans="1:26" x14ac:dyDescent="0.25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ht="13.5" customHeight="1" spans="1:26" x14ac:dyDescent="0.25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ht="13.5" customHeight="1" spans="1:26" x14ac:dyDescent="0.25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ht="13.5" customHeight="1" spans="1:26" x14ac:dyDescent="0.25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ht="13.5" customHeight="1" spans="1:26" x14ac:dyDescent="0.25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ht="13.5" customHeight="1" spans="1:26" x14ac:dyDescent="0.25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ht="13.5" customHeight="1" spans="1:26" x14ac:dyDescent="0.2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ht="13.5" customHeight="1" spans="1:26" x14ac:dyDescent="0.25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ht="13.5" customHeight="1" spans="1:26" x14ac:dyDescent="0.25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ht="13.5" customHeight="1" spans="1:26" x14ac:dyDescent="0.25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ht="13.5" customHeight="1" spans="1:26" x14ac:dyDescent="0.25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ht="13.5" customHeight="1" spans="1:26" x14ac:dyDescent="0.25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ht="13.5" customHeight="1" spans="1:26" x14ac:dyDescent="0.25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ht="13.5" customHeight="1" spans="1:26" x14ac:dyDescent="0.25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ht="13.5" customHeight="1" spans="1:26" x14ac:dyDescent="0.25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ht="13.5" customHeight="1" spans="1:26" x14ac:dyDescent="0.25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ht="13.5" customHeight="1" spans="1:26" x14ac:dyDescent="0.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ht="13.5" customHeight="1" spans="1:26" x14ac:dyDescent="0.25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ht="13.5" customHeight="1" spans="1:26" x14ac:dyDescent="0.25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ht="13.5" customHeight="1" spans="1:26" x14ac:dyDescent="0.25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ht="13.5" customHeight="1" spans="1:26" x14ac:dyDescent="0.25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ht="13.5" customHeight="1" spans="1:26" x14ac:dyDescent="0.25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ht="13.5" customHeight="1" spans="1:26" x14ac:dyDescent="0.25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ht="13.5" customHeight="1" spans="1:26" x14ac:dyDescent="0.25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ht="13.5" customHeight="1" spans="1:26" x14ac:dyDescent="0.25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ht="13.5" customHeight="1" spans="1:26" x14ac:dyDescent="0.25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ht="13.5" customHeight="1" spans="1:26" x14ac:dyDescent="0.2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ht="13.5" customHeight="1" spans="1:26" x14ac:dyDescent="0.25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ht="13.5" customHeight="1" spans="1:26" x14ac:dyDescent="0.25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ht="13.5" customHeight="1" spans="1:26" x14ac:dyDescent="0.25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ht="13.5" customHeight="1" spans="1:26" x14ac:dyDescent="0.25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ht="13.5" customHeight="1" spans="1:26" x14ac:dyDescent="0.25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ht="13.5" customHeight="1" spans="1:26" x14ac:dyDescent="0.25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ht="13.5" customHeight="1" spans="1:26" x14ac:dyDescent="0.25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ht="13.5" customHeight="1" spans="1:26" x14ac:dyDescent="0.25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ht="13.5" customHeight="1" spans="1:26" x14ac:dyDescent="0.25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ht="13.5" customHeight="1" spans="1:26" x14ac:dyDescent="0.2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ht="13.5" customHeight="1" spans="1:26" x14ac:dyDescent="0.25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ht="13.5" customHeight="1" spans="1:26" x14ac:dyDescent="0.25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ht="13.5" customHeight="1" spans="1:26" x14ac:dyDescent="0.25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ht="13.5" customHeight="1" spans="1:26" x14ac:dyDescent="0.25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ht="13.5" customHeight="1" spans="1:26" x14ac:dyDescent="0.25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ht="13.5" customHeight="1" spans="1:26" x14ac:dyDescent="0.25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ht="13.5" customHeight="1" spans="1:26" x14ac:dyDescent="0.25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ht="13.5" customHeight="1" spans="1:26" x14ac:dyDescent="0.25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ht="13.5" customHeight="1" spans="1:26" x14ac:dyDescent="0.25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ht="13.5" customHeight="1" spans="1:26" x14ac:dyDescent="0.2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ht="13.5" customHeight="1" spans="1:26" x14ac:dyDescent="0.25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ht="13.5" customHeight="1" spans="1:26" x14ac:dyDescent="0.25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ht="13.5" customHeight="1" spans="1:26" x14ac:dyDescent="0.25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ht="13.5" customHeight="1" spans="1:26" x14ac:dyDescent="0.25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ht="13.5" customHeight="1" spans="1:26" x14ac:dyDescent="0.25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ht="13.5" customHeight="1" spans="1:26" x14ac:dyDescent="0.25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ht="13.5" customHeight="1" spans="1:26" x14ac:dyDescent="0.25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ht="13.5" customHeight="1" spans="1:26" x14ac:dyDescent="0.25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ht="13.5" customHeight="1" spans="1:26" x14ac:dyDescent="0.25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ht="13.5" customHeight="1" spans="1:26" x14ac:dyDescent="0.2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ht="13.5" customHeight="1" spans="1:26" x14ac:dyDescent="0.25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ht="13.5" customHeight="1" spans="1:26" x14ac:dyDescent="0.25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ht="13.5" customHeight="1" spans="1:26" x14ac:dyDescent="0.25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ht="13.5" customHeight="1" spans="1:26" x14ac:dyDescent="0.25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ht="13.5" customHeight="1" spans="1:26" x14ac:dyDescent="0.25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ht="13.5" customHeight="1" spans="1:26" x14ac:dyDescent="0.25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ht="13.5" customHeight="1" spans="1:26" x14ac:dyDescent="0.25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ht="13.5" customHeight="1" spans="1:26" x14ac:dyDescent="0.25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ht="13.5" customHeight="1" spans="1:26" x14ac:dyDescent="0.25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ht="13.5" customHeight="1" spans="1:26" x14ac:dyDescent="0.2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ht="13.5" customHeight="1" spans="1:26" x14ac:dyDescent="0.25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ht="13.5" customHeight="1" spans="1:26" x14ac:dyDescent="0.25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ht="13.5" customHeight="1" spans="1:26" x14ac:dyDescent="0.25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ht="13.5" customHeight="1" spans="1:26" x14ac:dyDescent="0.25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ht="13.5" customHeight="1" spans="1:26" x14ac:dyDescent="0.25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ht="13.5" customHeight="1" spans="1:26" x14ac:dyDescent="0.25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ht="13.5" customHeight="1" spans="1:26" x14ac:dyDescent="0.25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ht="13.5" customHeight="1" spans="1:26" x14ac:dyDescent="0.25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ht="13.5" customHeight="1" spans="1:26" x14ac:dyDescent="0.25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ht="13.5" customHeight="1" spans="1:26" x14ac:dyDescent="0.2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ht="13.5" customHeight="1" spans="1:26" x14ac:dyDescent="0.25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ht="13.5" customHeight="1" spans="1:26" x14ac:dyDescent="0.25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ht="13.5" customHeight="1" spans="1:26" x14ac:dyDescent="0.25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ht="13.5" customHeight="1" spans="1:26" x14ac:dyDescent="0.25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ht="13.5" customHeight="1" spans="1:26" x14ac:dyDescent="0.25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ht="13.5" customHeight="1" spans="1:26" x14ac:dyDescent="0.25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ht="13.5" customHeight="1" spans="1:26" x14ac:dyDescent="0.25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ht="13.5" customHeight="1" spans="1:26" x14ac:dyDescent="0.25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ht="13.5" customHeight="1" spans="1:26" x14ac:dyDescent="0.25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ht="13.5" customHeight="1" spans="1:26" x14ac:dyDescent="0.2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ht="13.5" customHeight="1" spans="1:26" x14ac:dyDescent="0.25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ht="13.5" customHeight="1" spans="1:26" x14ac:dyDescent="0.25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ht="13.5" customHeight="1" spans="1:26" x14ac:dyDescent="0.25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ht="13.5" customHeight="1" spans="1:26" x14ac:dyDescent="0.25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ht="13.5" customHeight="1" spans="1:26" x14ac:dyDescent="0.25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ht="13.5" customHeight="1" spans="1:26" x14ac:dyDescent="0.25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ht="13.5" customHeight="1" spans="1:26" x14ac:dyDescent="0.25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ht="13.5" customHeight="1" spans="1:26" x14ac:dyDescent="0.25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ht="13.5" customHeight="1" spans="1:26" x14ac:dyDescent="0.25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ht="13.5" customHeight="1" spans="1:26" x14ac:dyDescent="0.2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ht="13.5" customHeight="1" spans="1:26" x14ac:dyDescent="0.25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ht="13.5" customHeight="1" spans="1:26" x14ac:dyDescent="0.25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ht="13.5" customHeight="1" spans="1:26" x14ac:dyDescent="0.25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ht="13.5" customHeight="1" spans="1:26" x14ac:dyDescent="0.25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ht="13.5" customHeight="1" spans="1:26" x14ac:dyDescent="0.25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ht="13.5" customHeight="1" spans="1:26" x14ac:dyDescent="0.25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ht="13.5" customHeight="1" spans="1:26" x14ac:dyDescent="0.25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ht="13.5" customHeight="1" spans="1:26" x14ac:dyDescent="0.25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ht="13.5" customHeight="1" spans="1:26" x14ac:dyDescent="0.25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ht="13.5" customHeight="1" spans="1:26" x14ac:dyDescent="0.2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ht="13.5" customHeight="1" spans="1:26" x14ac:dyDescent="0.25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ht="13.5" customHeight="1" spans="1:26" x14ac:dyDescent="0.25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ht="13.5" customHeight="1" spans="1:26" x14ac:dyDescent="0.25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ht="13.5" customHeight="1" spans="1:26" x14ac:dyDescent="0.25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ht="13.5" customHeight="1" spans="1:26" x14ac:dyDescent="0.25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ht="13.5" customHeight="1" spans="1:26" x14ac:dyDescent="0.25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ht="13.5" customHeight="1" spans="1:26" x14ac:dyDescent="0.25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ht="13.5" customHeight="1" spans="1:26" x14ac:dyDescent="0.25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ht="13.5" customHeight="1" spans="1:26" x14ac:dyDescent="0.25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ht="13.5" customHeight="1" spans="1:26" x14ac:dyDescent="0.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ht="13.5" customHeight="1" spans="1:26" x14ac:dyDescent="0.25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ht="13.5" customHeight="1" spans="1:26" x14ac:dyDescent="0.25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ht="13.5" customHeight="1" spans="1:26" x14ac:dyDescent="0.25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ht="13.5" customHeight="1" spans="1:26" x14ac:dyDescent="0.25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ht="13.5" customHeight="1" spans="1:26" x14ac:dyDescent="0.25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ht="13.5" customHeight="1" spans="1:26" x14ac:dyDescent="0.25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ht="13.5" customHeight="1" spans="1:26" x14ac:dyDescent="0.25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ht="13.5" customHeight="1" spans="1:26" x14ac:dyDescent="0.25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ht="13.5" customHeight="1" spans="1:26" x14ac:dyDescent="0.25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ht="13.5" customHeight="1" spans="1:26" x14ac:dyDescent="0.2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ht="13.5" customHeight="1" spans="1:26" x14ac:dyDescent="0.25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ht="13.5" customHeight="1" spans="1:26" x14ac:dyDescent="0.25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ht="13.5" customHeight="1" spans="1:26" x14ac:dyDescent="0.25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ht="13.5" customHeight="1" spans="1:26" x14ac:dyDescent="0.25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ht="13.5" customHeight="1" spans="1:26" x14ac:dyDescent="0.25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ht="13.5" customHeight="1" spans="1:26" x14ac:dyDescent="0.25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ht="13.5" customHeight="1" spans="1:26" x14ac:dyDescent="0.25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ht="13.5" customHeight="1" spans="1:26" x14ac:dyDescent="0.25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ht="13.5" customHeight="1" spans="1:26" x14ac:dyDescent="0.25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ht="13.5" customHeight="1" spans="1:26" x14ac:dyDescent="0.2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ht="13.5" customHeight="1" spans="1:26" x14ac:dyDescent="0.25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ht="13.5" customHeight="1" spans="1:26" x14ac:dyDescent="0.25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ht="13.5" customHeight="1" spans="1:26" x14ac:dyDescent="0.25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ht="13.5" customHeight="1" spans="1:26" x14ac:dyDescent="0.25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ht="13.5" customHeight="1" spans="1:26" x14ac:dyDescent="0.25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ht="13.5" customHeight="1" spans="1:26" x14ac:dyDescent="0.25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ht="13.5" customHeight="1" spans="1:26" x14ac:dyDescent="0.25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ht="13.5" customHeight="1" spans="1:26" x14ac:dyDescent="0.25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ht="13.5" customHeight="1" spans="1:26" x14ac:dyDescent="0.25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ht="13.5" customHeight="1" spans="1:26" x14ac:dyDescent="0.2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ht="13.5" customHeight="1" spans="1:26" x14ac:dyDescent="0.25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ht="13.5" customHeight="1" spans="1:26" x14ac:dyDescent="0.25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ht="13.5" customHeight="1" spans="1:26" x14ac:dyDescent="0.25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ht="13.5" customHeight="1" spans="1:26" x14ac:dyDescent="0.25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ht="13.5" customHeight="1" spans="1:26" x14ac:dyDescent="0.25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ht="13.5" customHeight="1" spans="1:26" x14ac:dyDescent="0.25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ht="13.5" customHeight="1" spans="1:26" x14ac:dyDescent="0.25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ht="13.5" customHeight="1" spans="1:26" x14ac:dyDescent="0.25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ht="13.5" customHeight="1" spans="1:26" x14ac:dyDescent="0.25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ht="13.5" customHeight="1" spans="1:26" x14ac:dyDescent="0.2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ht="13.5" customHeight="1" spans="1:26" x14ac:dyDescent="0.25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ht="13.5" customHeight="1" spans="1:26" x14ac:dyDescent="0.25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ht="13.5" customHeight="1" spans="1:26" x14ac:dyDescent="0.25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ht="13.5" customHeight="1" spans="1:26" x14ac:dyDescent="0.25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ht="13.5" customHeight="1" spans="1:26" x14ac:dyDescent="0.25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ht="13.5" customHeight="1" spans="1:26" x14ac:dyDescent="0.25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ht="13.5" customHeight="1" spans="1:26" x14ac:dyDescent="0.25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ht="13.5" customHeight="1" spans="1:26" x14ac:dyDescent="0.25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ht="13.5" customHeight="1" spans="1:26" x14ac:dyDescent="0.25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ht="13.5" customHeight="1" spans="1:26" x14ac:dyDescent="0.2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ht="13.5" customHeight="1" spans="1:26" x14ac:dyDescent="0.25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ht="13.5" customHeight="1" spans="1:26" x14ac:dyDescent="0.25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ht="13.5" customHeight="1" spans="1:26" x14ac:dyDescent="0.25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ht="13.5" customHeight="1" spans="1:26" x14ac:dyDescent="0.25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ht="13.5" customHeight="1" spans="1:26" x14ac:dyDescent="0.25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ht="13.5" customHeight="1" spans="1:26" x14ac:dyDescent="0.25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ht="13.5" customHeight="1" spans="1:26" x14ac:dyDescent="0.25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ht="13.5" customHeight="1" spans="1:26" x14ac:dyDescent="0.25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ht="13.5" customHeight="1" spans="1:26" x14ac:dyDescent="0.25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ht="13.5" customHeight="1" spans="1:26" x14ac:dyDescent="0.2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ht="13.5" customHeight="1" spans="1:26" x14ac:dyDescent="0.25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ht="13.5" customHeight="1" spans="1:26" x14ac:dyDescent="0.25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ht="13.5" customHeight="1" spans="1:26" x14ac:dyDescent="0.25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ht="13.5" customHeight="1" spans="1:26" x14ac:dyDescent="0.25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ht="13.5" customHeight="1" spans="1:26" x14ac:dyDescent="0.25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ht="13.5" customHeight="1" spans="1:26" x14ac:dyDescent="0.25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ht="13.5" customHeight="1" spans="1:26" x14ac:dyDescent="0.25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ht="13.5" customHeight="1" spans="1:26" x14ac:dyDescent="0.25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ht="13.5" customHeight="1" spans="1:26" x14ac:dyDescent="0.25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ht="13.5" customHeight="1" spans="1:26" x14ac:dyDescent="0.2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ht="13.5" customHeight="1" spans="1:26" x14ac:dyDescent="0.25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ht="13.5" customHeight="1" spans="1:26" x14ac:dyDescent="0.25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ht="13.5" customHeight="1" spans="1:26" x14ac:dyDescent="0.25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ht="13.5" customHeight="1" spans="1:26" x14ac:dyDescent="0.25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ht="13.5" customHeight="1" spans="1:26" x14ac:dyDescent="0.25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ht="13.5" customHeight="1" spans="1:26" x14ac:dyDescent="0.25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ht="13.5" customHeight="1" spans="1:26" x14ac:dyDescent="0.25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ht="13.5" customHeight="1" spans="1:26" x14ac:dyDescent="0.25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ht="13.5" customHeight="1" spans="1:26" x14ac:dyDescent="0.25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ht="13.5" customHeight="1" spans="1:26" x14ac:dyDescent="0.2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ht="13.5" customHeight="1" spans="1:26" x14ac:dyDescent="0.25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ht="13.5" customHeight="1" spans="1:26" x14ac:dyDescent="0.25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ht="13.5" customHeight="1" spans="1:26" x14ac:dyDescent="0.25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ht="13.5" customHeight="1" spans="1:26" x14ac:dyDescent="0.25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ht="13.5" customHeight="1" spans="1:26" x14ac:dyDescent="0.25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ht="13.5" customHeight="1" spans="1:26" x14ac:dyDescent="0.25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ht="13.5" customHeight="1" spans="1:26" x14ac:dyDescent="0.25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ht="13.5" customHeight="1" spans="1:26" x14ac:dyDescent="0.25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ht="13.5" customHeight="1" spans="1:26" x14ac:dyDescent="0.25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ht="13.5" customHeight="1" spans="1:26" x14ac:dyDescent="0.2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ht="13.5" customHeight="1" spans="1:26" x14ac:dyDescent="0.25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ht="13.5" customHeight="1" spans="1:26" x14ac:dyDescent="0.25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ht="13.5" customHeight="1" spans="1:26" x14ac:dyDescent="0.25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ht="13.5" customHeight="1" spans="1:26" x14ac:dyDescent="0.25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ht="13.5" customHeight="1" spans="1:26" x14ac:dyDescent="0.25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ht="13.5" customHeight="1" spans="1:26" x14ac:dyDescent="0.25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ht="13.5" customHeight="1" spans="1:26" x14ac:dyDescent="0.25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ht="13.5" customHeight="1" spans="1:26" x14ac:dyDescent="0.25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ht="13.5" customHeight="1" spans="1:26" x14ac:dyDescent="0.25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ht="13.5" customHeight="1" spans="1:26" x14ac:dyDescent="0.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ht="13.5" customHeight="1" spans="1:26" x14ac:dyDescent="0.25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ht="13.5" customHeight="1" spans="1:26" x14ac:dyDescent="0.25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ht="13.5" customHeight="1" spans="1:26" x14ac:dyDescent="0.25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ht="13.5" customHeight="1" spans="1:26" x14ac:dyDescent="0.25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ht="13.5" customHeight="1" spans="1:26" x14ac:dyDescent="0.25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ht="13.5" customHeight="1" spans="1:26" x14ac:dyDescent="0.25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ht="13.5" customHeight="1" spans="1:26" x14ac:dyDescent="0.25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ht="13.5" customHeight="1" spans="1:26" x14ac:dyDescent="0.25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ht="13.5" customHeight="1" spans="1:26" x14ac:dyDescent="0.25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ht="13.5" customHeight="1" spans="1:26" x14ac:dyDescent="0.2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ht="13.5" customHeight="1" spans="1:26" x14ac:dyDescent="0.25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ht="13.5" customHeight="1" spans="1:26" x14ac:dyDescent="0.25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ht="13.5" customHeight="1" spans="1:26" x14ac:dyDescent="0.25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ht="13.5" customHeight="1" spans="1:26" x14ac:dyDescent="0.25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ht="13.5" customHeight="1" spans="1:26" x14ac:dyDescent="0.25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ht="13.5" customHeight="1" spans="1:26" x14ac:dyDescent="0.25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ht="13.5" customHeight="1" spans="1:26" x14ac:dyDescent="0.25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ht="13.5" customHeight="1" spans="1:26" x14ac:dyDescent="0.25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ht="13.5" customHeight="1" spans="1:26" x14ac:dyDescent="0.25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ht="13.5" customHeight="1" spans="1:26" x14ac:dyDescent="0.2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ht="13.5" customHeight="1" spans="1:26" x14ac:dyDescent="0.25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ht="13.5" customHeight="1" spans="1:26" x14ac:dyDescent="0.25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ht="13.5" customHeight="1" spans="1:26" x14ac:dyDescent="0.25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ht="13.5" customHeight="1" spans="1:26" x14ac:dyDescent="0.25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ht="13.5" customHeight="1" spans="1:26" x14ac:dyDescent="0.25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ht="13.5" customHeight="1" spans="1:26" x14ac:dyDescent="0.25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ht="13.5" customHeight="1" spans="1:26" x14ac:dyDescent="0.25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ht="13.5" customHeight="1" spans="1:26" x14ac:dyDescent="0.25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ht="13.5" customHeight="1" spans="1:26" x14ac:dyDescent="0.25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ht="13.5" customHeight="1" spans="1:26" x14ac:dyDescent="0.2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ht="13.5" customHeight="1" spans="1:26" x14ac:dyDescent="0.25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ht="13.5" customHeight="1" spans="1:26" x14ac:dyDescent="0.25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ht="13.5" customHeight="1" spans="1:26" x14ac:dyDescent="0.25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ht="13.5" customHeight="1" spans="1:26" x14ac:dyDescent="0.25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ht="13.5" customHeight="1" spans="1:26" x14ac:dyDescent="0.25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ht="13.5" customHeight="1" spans="1:26" x14ac:dyDescent="0.25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ht="13.5" customHeight="1" spans="1:26" x14ac:dyDescent="0.25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ht="13.5" customHeight="1" spans="1:26" x14ac:dyDescent="0.25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ht="13.5" customHeight="1" spans="1:26" x14ac:dyDescent="0.25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ht="13.5" customHeight="1" spans="1:26" x14ac:dyDescent="0.2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ht="13.5" customHeight="1" spans="1:26" x14ac:dyDescent="0.25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ht="13.5" customHeight="1" spans="1:26" x14ac:dyDescent="0.25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ht="13.5" customHeight="1" spans="1:26" x14ac:dyDescent="0.25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ht="13.5" customHeight="1" spans="1:26" x14ac:dyDescent="0.25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ht="13.5" customHeight="1" spans="1:26" x14ac:dyDescent="0.25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ht="13.5" customHeight="1" spans="1:26" x14ac:dyDescent="0.25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ht="13.5" customHeight="1" spans="1:26" x14ac:dyDescent="0.25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ht="13.5" customHeight="1" spans="1:26" x14ac:dyDescent="0.25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ht="13.5" customHeight="1" spans="1:26" x14ac:dyDescent="0.25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ht="13.5" customHeight="1" spans="1:26" x14ac:dyDescent="0.2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ht="13.5" customHeight="1" spans="1:26" x14ac:dyDescent="0.25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ht="13.5" customHeight="1" spans="1:26" x14ac:dyDescent="0.25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ht="13.5" customHeight="1" spans="1:26" x14ac:dyDescent="0.25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ht="13.5" customHeight="1" spans="1:26" x14ac:dyDescent="0.25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ht="13.5" customHeight="1" spans="1:26" x14ac:dyDescent="0.25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ht="13.5" customHeight="1" spans="1:26" x14ac:dyDescent="0.25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ht="13.5" customHeight="1" spans="1:26" x14ac:dyDescent="0.25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ht="13.5" customHeight="1" spans="1:26" x14ac:dyDescent="0.25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ht="13.5" customHeight="1" spans="1:26" x14ac:dyDescent="0.25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ht="13.5" customHeight="1" spans="1:26" x14ac:dyDescent="0.2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ht="13.5" customHeight="1" spans="1:26" x14ac:dyDescent="0.25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ht="13.5" customHeight="1" spans="1:26" x14ac:dyDescent="0.25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ht="13.5" customHeight="1" spans="1:26" x14ac:dyDescent="0.25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ht="13.5" customHeight="1" spans="1:26" x14ac:dyDescent="0.25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ht="13.5" customHeight="1" spans="1:26" x14ac:dyDescent="0.25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ht="13.5" customHeight="1" spans="1:26" x14ac:dyDescent="0.25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ht="13.5" customHeight="1" spans="1:26" x14ac:dyDescent="0.25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ht="13.5" customHeight="1" spans="1:26" x14ac:dyDescent="0.25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ht="13.5" customHeight="1" spans="1:26" x14ac:dyDescent="0.25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ht="13.5" customHeight="1" spans="1:26" x14ac:dyDescent="0.2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ht="13.5" customHeight="1" spans="1:26" x14ac:dyDescent="0.25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ht="13.5" customHeight="1" spans="1:26" x14ac:dyDescent="0.25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ht="13.5" customHeight="1" spans="1:26" x14ac:dyDescent="0.25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ht="13.5" customHeight="1" spans="1:26" x14ac:dyDescent="0.25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ht="13.5" customHeight="1" spans="1:26" x14ac:dyDescent="0.25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ht="13.5" customHeight="1" spans="1:26" x14ac:dyDescent="0.25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ht="13.5" customHeight="1" spans="1:26" x14ac:dyDescent="0.25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ht="13.5" customHeight="1" spans="1:26" x14ac:dyDescent="0.25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ht="13.5" customHeight="1" spans="1:26" x14ac:dyDescent="0.25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ht="13.5" customHeight="1" spans="1:26" x14ac:dyDescent="0.2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ht="13.5" customHeight="1" spans="1:26" x14ac:dyDescent="0.25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ht="13.5" customHeight="1" spans="1:26" x14ac:dyDescent="0.25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ht="13.5" customHeight="1" spans="1:26" x14ac:dyDescent="0.25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ht="13.5" customHeight="1" spans="1:26" x14ac:dyDescent="0.25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ht="13.5" customHeight="1" spans="1:26" x14ac:dyDescent="0.25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ht="13.5" customHeight="1" spans="1:26" x14ac:dyDescent="0.25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ht="13.5" customHeight="1" spans="1:26" x14ac:dyDescent="0.25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ht="13.5" customHeight="1" spans="1:26" x14ac:dyDescent="0.25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ht="13.5" customHeight="1" spans="1:26" x14ac:dyDescent="0.25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ht="13.5" customHeight="1" spans="1:26" x14ac:dyDescent="0.2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ht="13.5" customHeight="1" spans="1:26" x14ac:dyDescent="0.25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ht="13.5" customHeight="1" spans="1:26" x14ac:dyDescent="0.25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ht="13.5" customHeight="1" spans="1:26" x14ac:dyDescent="0.25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ht="13.5" customHeight="1" spans="1:26" x14ac:dyDescent="0.25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ht="13.5" customHeight="1" spans="1:26" x14ac:dyDescent="0.25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ht="13.5" customHeight="1" spans="1:26" x14ac:dyDescent="0.25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ht="13.5" customHeight="1" spans="1:26" x14ac:dyDescent="0.25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ht="13.5" customHeight="1" spans="1:26" x14ac:dyDescent="0.25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ht="13.5" customHeight="1" spans="1:26" x14ac:dyDescent="0.25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ht="13.5" customHeight="1" spans="1:26" x14ac:dyDescent="0.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ht="13.5" customHeight="1" spans="1:26" x14ac:dyDescent="0.25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ht="13.5" customHeight="1" spans="1:26" x14ac:dyDescent="0.25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ht="13.5" customHeight="1" spans="1:26" x14ac:dyDescent="0.25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ht="13.5" customHeight="1" spans="1:26" x14ac:dyDescent="0.25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ht="13.5" customHeight="1" spans="1:26" x14ac:dyDescent="0.25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ht="13.5" customHeight="1" spans="1:26" x14ac:dyDescent="0.25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ht="13.5" customHeight="1" spans="1:26" x14ac:dyDescent="0.25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ht="13.5" customHeight="1" spans="1:26" x14ac:dyDescent="0.25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ht="13.5" customHeight="1" spans="1:26" x14ac:dyDescent="0.25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ht="13.5" customHeight="1" spans="1:26" x14ac:dyDescent="0.2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ht="13.5" customHeight="1" spans="1:26" x14ac:dyDescent="0.25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ht="13.5" customHeight="1" spans="1:26" x14ac:dyDescent="0.25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ht="13.5" customHeight="1" spans="1:26" x14ac:dyDescent="0.25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ht="13.5" customHeight="1" spans="1:26" x14ac:dyDescent="0.25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ht="13.5" customHeight="1" spans="1:26" x14ac:dyDescent="0.25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ht="13.5" customHeight="1" spans="1:26" x14ac:dyDescent="0.25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ht="13.5" customHeight="1" spans="1:26" x14ac:dyDescent="0.25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ht="13.5" customHeight="1" spans="1:26" x14ac:dyDescent="0.25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ht="13.5" customHeight="1" spans="1:26" x14ac:dyDescent="0.25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ht="13.5" customHeight="1" spans="1:26" x14ac:dyDescent="0.2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ht="13.5" customHeight="1" spans="1:26" x14ac:dyDescent="0.25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ht="13.5" customHeight="1" spans="1:26" x14ac:dyDescent="0.25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ht="13.5" customHeight="1" spans="1:26" x14ac:dyDescent="0.25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ht="13.5" customHeight="1" spans="1:26" x14ac:dyDescent="0.25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ht="13.5" customHeight="1" spans="1:26" x14ac:dyDescent="0.25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ht="13.5" customHeight="1" spans="1:26" x14ac:dyDescent="0.25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ht="13.5" customHeight="1" spans="1:26" x14ac:dyDescent="0.25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ht="13.5" customHeight="1" spans="1:26" x14ac:dyDescent="0.25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ht="13.5" customHeight="1" spans="1:26" x14ac:dyDescent="0.25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ht="13.5" customHeight="1" spans="1:26" x14ac:dyDescent="0.2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ht="13.5" customHeight="1" spans="1:26" x14ac:dyDescent="0.25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ht="13.5" customHeight="1" spans="1:26" x14ac:dyDescent="0.25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ht="13.5" customHeight="1" spans="1:26" x14ac:dyDescent="0.25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ht="13.5" customHeight="1" spans="1:26" x14ac:dyDescent="0.25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ht="13.5" customHeight="1" spans="1:26" x14ac:dyDescent="0.25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ht="13.5" customHeight="1" spans="1:26" x14ac:dyDescent="0.25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ht="13.5" customHeight="1" spans="1:26" x14ac:dyDescent="0.25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ht="13.5" customHeight="1" spans="1:26" x14ac:dyDescent="0.25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ht="13.5" customHeight="1" spans="1:26" x14ac:dyDescent="0.25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ht="13.5" customHeight="1" spans="1:26" x14ac:dyDescent="0.2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ht="13.5" customHeight="1" spans="1:26" x14ac:dyDescent="0.25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ht="13.5" customHeight="1" spans="1:26" x14ac:dyDescent="0.25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ht="13.5" customHeight="1" spans="1:26" x14ac:dyDescent="0.25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ht="13.5" customHeight="1" spans="1:26" x14ac:dyDescent="0.25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ht="13.5" customHeight="1" spans="1:26" x14ac:dyDescent="0.25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ht="13.5" customHeight="1" spans="1:26" x14ac:dyDescent="0.25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ht="13.5" customHeight="1" spans="1:26" x14ac:dyDescent="0.25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ht="13.5" customHeight="1" spans="1:26" x14ac:dyDescent="0.25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ht="13.5" customHeight="1" spans="1:26" x14ac:dyDescent="0.25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ht="13.5" customHeight="1" spans="1:26" x14ac:dyDescent="0.2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ht="13.5" customHeight="1" spans="1:26" x14ac:dyDescent="0.25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ht="13.5" customHeight="1" spans="1:26" x14ac:dyDescent="0.25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ht="13.5" customHeight="1" spans="1:26" x14ac:dyDescent="0.25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ht="13.5" customHeight="1" spans="1:26" x14ac:dyDescent="0.25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ht="13.5" customHeight="1" spans="1:26" x14ac:dyDescent="0.25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ht="13.5" customHeight="1" spans="1:26" x14ac:dyDescent="0.25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ht="13.5" customHeight="1" spans="1:26" x14ac:dyDescent="0.25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ht="13.5" customHeight="1" spans="1:26" x14ac:dyDescent="0.25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ht="13.5" customHeight="1" spans="1:26" x14ac:dyDescent="0.25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ht="13.5" customHeight="1" spans="1:26" x14ac:dyDescent="0.2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ht="13.5" customHeight="1" spans="1:26" x14ac:dyDescent="0.25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ht="13.5" customHeight="1" spans="1:26" x14ac:dyDescent="0.25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ht="13.5" customHeight="1" spans="1:26" x14ac:dyDescent="0.25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ht="13.5" customHeight="1" spans="1:26" x14ac:dyDescent="0.25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ht="13.5" customHeight="1" spans="1:26" x14ac:dyDescent="0.25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ht="13.5" customHeight="1" spans="1:26" x14ac:dyDescent="0.25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ht="13.5" customHeight="1" spans="1:26" x14ac:dyDescent="0.25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ht="13.5" customHeight="1" spans="1:26" x14ac:dyDescent="0.25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ht="13.5" customHeight="1" spans="1:26" x14ac:dyDescent="0.25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ht="13.5" customHeight="1" spans="1:26" x14ac:dyDescent="0.2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ht="13.5" customHeight="1" spans="1:26" x14ac:dyDescent="0.25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ht="13.5" customHeight="1" spans="1:26" x14ac:dyDescent="0.25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ht="13.5" customHeight="1" spans="1:26" x14ac:dyDescent="0.25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ht="13.5" customHeight="1" spans="1:26" x14ac:dyDescent="0.25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ht="13.5" customHeight="1" spans="1:26" x14ac:dyDescent="0.25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ht="13.5" customHeight="1" spans="1:26" x14ac:dyDescent="0.25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ht="13.5" customHeight="1" spans="1:26" x14ac:dyDescent="0.25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ht="13.5" customHeight="1" spans="1:26" x14ac:dyDescent="0.25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ht="13.5" customHeight="1" spans="1:26" x14ac:dyDescent="0.25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ht="13.5" customHeight="1" spans="1:26" x14ac:dyDescent="0.2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ht="13.5" customHeight="1" spans="1:26" x14ac:dyDescent="0.25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ht="13.5" customHeight="1" spans="1:26" x14ac:dyDescent="0.25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ht="13.5" customHeight="1" spans="1:26" x14ac:dyDescent="0.25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ht="13.5" customHeight="1" spans="1:26" x14ac:dyDescent="0.25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ht="13.5" customHeight="1" spans="1:26" x14ac:dyDescent="0.25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ht="13.5" customHeight="1" spans="1:26" x14ac:dyDescent="0.25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ht="13.5" customHeight="1" spans="1:26" x14ac:dyDescent="0.25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ht="13.5" customHeight="1" spans="1:26" x14ac:dyDescent="0.25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ht="13.5" customHeight="1" spans="1:26" x14ac:dyDescent="0.25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ht="13.5" customHeight="1" spans="1:26" x14ac:dyDescent="0.2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ht="13.5" customHeight="1" spans="1:26" x14ac:dyDescent="0.25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ht="13.5" customHeight="1" spans="1:26" x14ac:dyDescent="0.25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ht="13.5" customHeight="1" spans="1:26" x14ac:dyDescent="0.25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ht="13.5" customHeight="1" spans="1:26" x14ac:dyDescent="0.25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ht="13.5" customHeight="1" spans="1:26" x14ac:dyDescent="0.25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ht="13.5" customHeight="1" spans="1:26" x14ac:dyDescent="0.25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ht="13.5" customHeight="1" spans="1:26" x14ac:dyDescent="0.25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ht="13.5" customHeight="1" spans="1:26" x14ac:dyDescent="0.25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ht="13.5" customHeight="1" spans="1:26" x14ac:dyDescent="0.25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ht="13.5" customHeight="1" spans="1:26" x14ac:dyDescent="0.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ht="13.5" customHeight="1" spans="1:26" x14ac:dyDescent="0.25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ht="13.5" customHeight="1" spans="1:26" x14ac:dyDescent="0.25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ht="13.5" customHeight="1" spans="1:26" x14ac:dyDescent="0.25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ht="13.5" customHeight="1" spans="1:26" x14ac:dyDescent="0.25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ht="13.5" customHeight="1" spans="1:26" x14ac:dyDescent="0.25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ht="13.5" customHeight="1" spans="1:26" x14ac:dyDescent="0.25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ht="13.5" customHeight="1" spans="1:26" x14ac:dyDescent="0.25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ht="13.5" customHeight="1" spans="1:26" x14ac:dyDescent="0.25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ht="13.5" customHeight="1" spans="1:26" x14ac:dyDescent="0.25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ht="13.5" customHeight="1" spans="1:26" x14ac:dyDescent="0.2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ht="13.5" customHeight="1" spans="1:26" x14ac:dyDescent="0.25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ht="13.5" customHeight="1" spans="1:26" x14ac:dyDescent="0.25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ht="13.5" customHeight="1" spans="1:26" x14ac:dyDescent="0.25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ht="13.5" customHeight="1" spans="1:26" x14ac:dyDescent="0.25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ht="13.5" customHeight="1" spans="1:26" x14ac:dyDescent="0.25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ht="13.5" customHeight="1" spans="1:26" x14ac:dyDescent="0.25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ht="13.5" customHeight="1" spans="1:26" x14ac:dyDescent="0.25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ht="13.5" customHeight="1" spans="1:26" x14ac:dyDescent="0.25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ht="13.5" customHeight="1" spans="1:26" x14ac:dyDescent="0.25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ht="13.5" customHeight="1" spans="1:26" x14ac:dyDescent="0.2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ht="13.5" customHeight="1" spans="1:26" x14ac:dyDescent="0.25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ht="13.5" customHeight="1" spans="1:26" x14ac:dyDescent="0.25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ht="13.5" customHeight="1" spans="1:26" x14ac:dyDescent="0.25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ht="13.5" customHeight="1" spans="1:26" x14ac:dyDescent="0.25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ht="13.5" customHeight="1" spans="1:26" x14ac:dyDescent="0.25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ht="13.5" customHeight="1" spans="1:26" x14ac:dyDescent="0.25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ht="13.5" customHeight="1" spans="1:26" x14ac:dyDescent="0.25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ht="13.5" customHeight="1" spans="1:26" x14ac:dyDescent="0.25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ht="13.5" customHeight="1" spans="1:26" x14ac:dyDescent="0.25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ht="13.5" customHeight="1" spans="1:26" x14ac:dyDescent="0.2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ht="13.5" customHeight="1" spans="1:26" x14ac:dyDescent="0.25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ht="13.5" customHeight="1" spans="1:26" x14ac:dyDescent="0.25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ht="13.5" customHeight="1" spans="1:26" x14ac:dyDescent="0.25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ht="13.5" customHeight="1" spans="1:26" x14ac:dyDescent="0.25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ht="13.5" customHeight="1" spans="1:26" x14ac:dyDescent="0.25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ht="13.5" customHeight="1" spans="1:26" x14ac:dyDescent="0.25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ht="13.5" customHeight="1" spans="1:26" x14ac:dyDescent="0.25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ht="13.5" customHeight="1" spans="1:26" x14ac:dyDescent="0.25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ht="13.5" customHeight="1" spans="1:26" x14ac:dyDescent="0.25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ht="13.5" customHeight="1" spans="1:26" x14ac:dyDescent="0.2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ht="13.5" customHeight="1" spans="1:26" x14ac:dyDescent="0.25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ht="13.5" customHeight="1" spans="1:26" x14ac:dyDescent="0.25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ht="13.5" customHeight="1" spans="1:26" x14ac:dyDescent="0.25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ht="13.5" customHeight="1" spans="1:26" x14ac:dyDescent="0.25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ht="13.5" customHeight="1" spans="1:26" x14ac:dyDescent="0.25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ht="13.5" customHeight="1" spans="1:26" x14ac:dyDescent="0.25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ht="13.5" customHeight="1" spans="1:26" x14ac:dyDescent="0.25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ht="13.5" customHeight="1" spans="1:26" x14ac:dyDescent="0.25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ht="13.5" customHeight="1" spans="1:26" x14ac:dyDescent="0.25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ht="13.5" customHeight="1" spans="1:26" x14ac:dyDescent="0.2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ht="13.5" customHeight="1" spans="1:26" x14ac:dyDescent="0.25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ht="13.5" customHeight="1" spans="1:26" x14ac:dyDescent="0.25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ht="13.5" customHeight="1" spans="1:26" x14ac:dyDescent="0.25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ht="13.5" customHeight="1" spans="1:26" x14ac:dyDescent="0.25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ht="13.5" customHeight="1" spans="1:26" x14ac:dyDescent="0.25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ht="13.5" customHeight="1" spans="1:26" x14ac:dyDescent="0.25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ht="13.5" customHeight="1" spans="1:26" x14ac:dyDescent="0.25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ht="13.5" customHeight="1" spans="1:26" x14ac:dyDescent="0.25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ht="13.5" customHeight="1" spans="1:26" x14ac:dyDescent="0.25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ht="13.5" customHeight="1" spans="1:26" x14ac:dyDescent="0.2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ht="13.5" customHeight="1" spans="1:26" x14ac:dyDescent="0.25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ht="13.5" customHeight="1" spans="1:26" x14ac:dyDescent="0.25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ht="13.5" customHeight="1" spans="1:26" x14ac:dyDescent="0.25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ht="13.5" customHeight="1" spans="1:26" x14ac:dyDescent="0.25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ht="13.5" customHeight="1" spans="1:26" x14ac:dyDescent="0.25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ht="13.5" customHeight="1" spans="1:26" x14ac:dyDescent="0.25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ht="13.5" customHeight="1" spans="1:26" x14ac:dyDescent="0.25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ht="13.5" customHeight="1" spans="1:26" x14ac:dyDescent="0.25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ht="13.5" customHeight="1" spans="1:26" x14ac:dyDescent="0.25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ht="13.5" customHeight="1" spans="1:26" x14ac:dyDescent="0.2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ht="13.5" customHeight="1" spans="1:26" x14ac:dyDescent="0.25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ht="13.5" customHeight="1" spans="1:26" x14ac:dyDescent="0.25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ht="13.5" customHeight="1" spans="1:26" x14ac:dyDescent="0.25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ht="13.5" customHeight="1" spans="1:26" x14ac:dyDescent="0.25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ht="13.5" customHeight="1" spans="1:26" x14ac:dyDescent="0.25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ht="13.5" customHeight="1" spans="1:26" x14ac:dyDescent="0.25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ht="13.5" customHeight="1" spans="1:26" x14ac:dyDescent="0.25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ht="13.5" customHeight="1" spans="1:26" x14ac:dyDescent="0.25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ht="13.5" customHeight="1" spans="1:26" x14ac:dyDescent="0.25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ht="13.5" customHeight="1" spans="1:26" x14ac:dyDescent="0.2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ht="13.5" customHeight="1" spans="1:26" x14ac:dyDescent="0.25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ht="13.5" customHeight="1" spans="1:26" x14ac:dyDescent="0.25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ht="13.5" customHeight="1" spans="1:26" x14ac:dyDescent="0.25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ht="13.5" customHeight="1" spans="1:26" x14ac:dyDescent="0.25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ht="13.5" customHeight="1" spans="1:26" x14ac:dyDescent="0.25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ht="13.5" customHeight="1" spans="1:26" x14ac:dyDescent="0.25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ht="13.5" customHeight="1" spans="1:26" x14ac:dyDescent="0.25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ht="13.5" customHeight="1" spans="1:26" x14ac:dyDescent="0.25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ht="13.5" customHeight="1" spans="1:26" x14ac:dyDescent="0.25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ht="13.5" customHeight="1" spans="1:26" x14ac:dyDescent="0.2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ht="13.5" customHeight="1" spans="1:26" x14ac:dyDescent="0.25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ht="13.5" customHeight="1" spans="1:26" x14ac:dyDescent="0.25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ht="13.5" customHeight="1" spans="1:26" x14ac:dyDescent="0.25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ht="13.5" customHeight="1" spans="1:26" x14ac:dyDescent="0.25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ht="13.5" customHeight="1" spans="1:26" x14ac:dyDescent="0.25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ht="13.5" customHeight="1" spans="1:26" x14ac:dyDescent="0.25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ht="13.5" customHeight="1" spans="1:26" x14ac:dyDescent="0.25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ht="13.5" customHeight="1" spans="1:26" x14ac:dyDescent="0.25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ht="13.5" customHeight="1" spans="1:26" x14ac:dyDescent="0.25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ht="13.5" customHeight="1" spans="1:26" x14ac:dyDescent="0.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ht="13.5" customHeight="1" spans="1:26" x14ac:dyDescent="0.25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ht="13.5" customHeight="1" spans="1:26" x14ac:dyDescent="0.25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ht="13.5" customHeight="1" spans="1:26" x14ac:dyDescent="0.25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ht="13.5" customHeight="1" spans="1:26" x14ac:dyDescent="0.25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ht="13.5" customHeight="1" spans="1:26" x14ac:dyDescent="0.25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ht="13.5" customHeight="1" spans="1:26" x14ac:dyDescent="0.25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ht="13.5" customHeight="1" spans="1:26" x14ac:dyDescent="0.25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ht="13.5" customHeight="1" spans="1:26" x14ac:dyDescent="0.25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ht="13.5" customHeight="1" spans="1:26" x14ac:dyDescent="0.25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ht="13.5" customHeight="1" spans="1:26" x14ac:dyDescent="0.2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ht="13.5" customHeight="1" spans="1:26" x14ac:dyDescent="0.25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ht="13.5" customHeight="1" spans="1:26" x14ac:dyDescent="0.25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ht="13.5" customHeight="1" spans="1:26" x14ac:dyDescent="0.25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ht="13.5" customHeight="1" spans="1:26" x14ac:dyDescent="0.25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ht="13.5" customHeight="1" spans="1:26" x14ac:dyDescent="0.25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ht="13.5" customHeight="1" spans="1:26" x14ac:dyDescent="0.25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ht="13.5" customHeight="1" spans="1:26" x14ac:dyDescent="0.25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ht="13.5" customHeight="1" spans="1:26" x14ac:dyDescent="0.25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ht="13.5" customHeight="1" spans="1:26" x14ac:dyDescent="0.25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ht="13.5" customHeight="1" spans="1:26" x14ac:dyDescent="0.2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ht="13.5" customHeight="1" spans="1:26" x14ac:dyDescent="0.25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ht="13.5" customHeight="1" spans="1:26" x14ac:dyDescent="0.25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ht="13.5" customHeight="1" spans="1:26" x14ac:dyDescent="0.25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ht="13.5" customHeight="1" spans="1:26" x14ac:dyDescent="0.25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ht="13.5" customHeight="1" spans="1:26" x14ac:dyDescent="0.25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ht="13.5" customHeight="1" spans="1:26" x14ac:dyDescent="0.25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ht="13.5" customHeight="1" spans="1:26" x14ac:dyDescent="0.25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ht="13.5" customHeight="1" spans="1:26" x14ac:dyDescent="0.25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ht="13.5" customHeight="1" spans="1:26" x14ac:dyDescent="0.25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ht="13.5" customHeight="1" spans="1:26" x14ac:dyDescent="0.2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ht="13.5" customHeight="1" spans="1:26" x14ac:dyDescent="0.25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ht="13.5" customHeight="1" spans="1:26" x14ac:dyDescent="0.25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ht="13.5" customHeight="1" spans="1:26" x14ac:dyDescent="0.25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ht="13.5" customHeight="1" spans="1:26" x14ac:dyDescent="0.25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ht="13.5" customHeight="1" spans="1:26" x14ac:dyDescent="0.25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ht="13.5" customHeight="1" spans="1:26" x14ac:dyDescent="0.25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ht="13.5" customHeight="1" spans="1:26" x14ac:dyDescent="0.25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ht="13.5" customHeight="1" spans="1:26" x14ac:dyDescent="0.25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ht="13.5" customHeight="1" spans="1:26" x14ac:dyDescent="0.25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ht="13.5" customHeight="1" spans="1:26" x14ac:dyDescent="0.2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ht="13.5" customHeight="1" spans="1:26" x14ac:dyDescent="0.25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ht="13.5" customHeight="1" spans="1:26" x14ac:dyDescent="0.25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ht="13.5" customHeight="1" spans="1:26" x14ac:dyDescent="0.25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ht="13.5" customHeight="1" spans="1:26" x14ac:dyDescent="0.25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ht="13.5" customHeight="1" spans="1:26" x14ac:dyDescent="0.25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ht="13.5" customHeight="1" spans="1:26" x14ac:dyDescent="0.25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ht="13.5" customHeight="1" spans="1:26" x14ac:dyDescent="0.25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ht="13.5" customHeight="1" spans="1:26" x14ac:dyDescent="0.25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ht="13.5" customHeight="1" spans="1:26" x14ac:dyDescent="0.25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ht="13.5" customHeight="1" spans="1:26" x14ac:dyDescent="0.2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ht="13.5" customHeight="1" spans="1:26" x14ac:dyDescent="0.25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ht="13.5" customHeight="1" spans="1:26" x14ac:dyDescent="0.25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ht="13.5" customHeight="1" spans="1:26" x14ac:dyDescent="0.25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ht="13.5" customHeight="1" spans="1:26" x14ac:dyDescent="0.25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ht="13.5" customHeight="1" spans="1:26" x14ac:dyDescent="0.25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ht="13.5" customHeight="1" spans="1:26" x14ac:dyDescent="0.25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ht="13.5" customHeight="1" spans="1:26" x14ac:dyDescent="0.25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ht="13.5" customHeight="1" spans="1:26" x14ac:dyDescent="0.25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ht="13.5" customHeight="1" spans="1:26" x14ac:dyDescent="0.25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ht="13.5" customHeight="1" spans="1:26" x14ac:dyDescent="0.2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ht="13.5" customHeight="1" spans="1:26" x14ac:dyDescent="0.25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ht="13.5" customHeight="1" spans="1:26" x14ac:dyDescent="0.25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ht="13.5" customHeight="1" spans="1:26" x14ac:dyDescent="0.25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ht="13.5" customHeight="1" spans="1:26" x14ac:dyDescent="0.25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ht="13.5" customHeight="1" spans="1:26" x14ac:dyDescent="0.25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ht="13.5" customHeight="1" spans="1:26" x14ac:dyDescent="0.25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ht="13.5" customHeight="1" spans="1:26" x14ac:dyDescent="0.25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ht="13.5" customHeight="1" spans="1:26" x14ac:dyDescent="0.25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ht="13.5" customHeight="1" spans="1:26" x14ac:dyDescent="0.25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ht="13.5" customHeight="1" spans="1:26" x14ac:dyDescent="0.2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ht="13.5" customHeight="1" spans="1:26" x14ac:dyDescent="0.25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ht="13.5" customHeight="1" spans="1:26" x14ac:dyDescent="0.25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ht="13.5" customHeight="1" spans="1:26" x14ac:dyDescent="0.25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ht="13.5" customHeight="1" spans="1:26" x14ac:dyDescent="0.25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ht="13.5" customHeight="1" spans="1:26" x14ac:dyDescent="0.25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mergeCells count="41">
    <mergeCell ref="A1:T1"/>
    <mergeCell ref="C2:D2"/>
    <mergeCell ref="G2:K2"/>
    <mergeCell ref="M2:S2"/>
    <mergeCell ref="C3:D3"/>
    <mergeCell ref="G3:H3"/>
    <mergeCell ref="J3:N3"/>
    <mergeCell ref="P3:Q3"/>
    <mergeCell ref="A4:E11"/>
    <mergeCell ref="F4:J11"/>
    <mergeCell ref="K4:O11"/>
    <mergeCell ref="P4:T11"/>
    <mergeCell ref="B12:E12"/>
    <mergeCell ref="G12:J12"/>
    <mergeCell ref="L12:O12"/>
    <mergeCell ref="Q12:T12"/>
    <mergeCell ref="A13:E20"/>
    <mergeCell ref="F13:J20"/>
    <mergeCell ref="K13:O20"/>
    <mergeCell ref="P13:T20"/>
    <mergeCell ref="B21:E21"/>
    <mergeCell ref="G21:J21"/>
    <mergeCell ref="L21:O21"/>
    <mergeCell ref="Q21:T21"/>
    <mergeCell ref="A22:E29"/>
    <mergeCell ref="F22:J29"/>
    <mergeCell ref="K22:O29"/>
    <mergeCell ref="P22:T29"/>
    <mergeCell ref="B30:E30"/>
    <mergeCell ref="G30:J30"/>
    <mergeCell ref="L30:O30"/>
    <mergeCell ref="Q30:T30"/>
    <mergeCell ref="A31:E38"/>
    <mergeCell ref="F31:J38"/>
    <mergeCell ref="K31:O38"/>
    <mergeCell ref="P31:T38"/>
    <mergeCell ref="B39:E39"/>
    <mergeCell ref="G39:J39"/>
    <mergeCell ref="L39:O39"/>
    <mergeCell ref="Q39:T39"/>
    <mergeCell ref="A40:T40"/>
  </mergeCells>
  <pageMargins left="0" right="0" top="0.25" bottom="0" header="0" footer="0"/>
  <pageSetup paperSize="9"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00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2" width="14.75" customWidth="1"/>
    <col min="3" max="5" width="13.5" customWidth="1"/>
    <col min="6" max="11" width="14.88" customWidth="1"/>
    <col min="12" max="12" width="11.75" customWidth="1"/>
    <col min="13" max="15" width="14.88" customWidth="1"/>
    <col min="16" max="16" width="4.13" customWidth="1"/>
    <col min="17" max="17" width="22.88" customWidth="1"/>
    <col min="18" max="18" width="18.25" customWidth="1"/>
    <col min="19" max="19" width="20.88" customWidth="1"/>
    <col min="20" max="20" width="10.5" customWidth="1"/>
    <col min="21" max="26" width="10.25" customWidth="1"/>
  </cols>
  <sheetData>
    <row r="1" ht="55.5" customHeight="1" spans="1:26" x14ac:dyDescent="0.25">
      <c r="A1" s="252" t="s">
        <v>196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s="213"/>
      <c r="V1" s="213"/>
      <c r="W1" s="213"/>
      <c r="X1" s="213"/>
      <c r="Y1" s="213"/>
      <c r="Z1" s="213"/>
    </row>
    <row r="2" ht="42.75" customHeight="1" spans="1:26" x14ac:dyDescent="0.25">
      <c r="A2" s="175" t="s">
        <v>8</v>
      </c>
      <c r="B2" s="176"/>
      <c r="C2" s="177">
        <f>'Picture Major Defects '!C2</f>
      </c>
      <c r="D2" s="63"/>
      <c r="E2" s="178" t="s">
        <v>10</v>
      </c>
      <c r="F2" s="176"/>
      <c r="G2" s="177">
        <f>'Picture Major Defects '!G2</f>
      </c>
      <c r="H2" s="62"/>
      <c r="I2" s="62"/>
      <c r="J2" s="62"/>
      <c r="K2" s="63"/>
      <c r="L2" s="179" t="s">
        <v>9</v>
      </c>
      <c r="M2" s="177">
        <f>'Picture Major Defects '!M2</f>
      </c>
      <c r="N2" s="62"/>
      <c r="O2" s="62"/>
      <c r="P2" s="62"/>
      <c r="Q2" s="62"/>
      <c r="R2" s="62"/>
      <c r="S2" s="150"/>
      <c r="T2" s="174"/>
      <c r="U2" s="174"/>
      <c r="V2" s="174"/>
      <c r="W2" s="174"/>
      <c r="X2" s="174"/>
      <c r="Y2" s="174"/>
      <c r="Z2" s="174"/>
    </row>
    <row r="3" ht="42.75" customHeight="1" spans="1:26" x14ac:dyDescent="0.25">
      <c r="A3" s="180" t="s">
        <v>12</v>
      </c>
      <c r="B3" s="181"/>
      <c r="C3" s="182">
        <f>'Picture Major Defects '!C3</f>
        <v>20000</v>
      </c>
      <c r="D3" s="40"/>
      <c r="E3" s="183" t="s">
        <v>13</v>
      </c>
      <c r="F3" s="184"/>
      <c r="G3" s="182">
        <f>'Picture Major Defects '!G3</f>
        <v>315</v>
      </c>
      <c r="H3" s="40"/>
      <c r="I3" s="183" t="s">
        <v>15</v>
      </c>
      <c r="J3" s="186">
        <f>'Main Report (2)'!J5</f>
      </c>
      <c r="K3" s="137"/>
      <c r="L3" s="137"/>
      <c r="M3" s="137"/>
      <c r="N3" s="40"/>
      <c r="O3" s="183" t="s">
        <v>180</v>
      </c>
      <c r="P3" s="181"/>
      <c r="Q3" s="187">
        <f>'Picture Major Defects '!Q3</f>
      </c>
      <c r="R3" s="182" t="s">
        <v>11</v>
      </c>
      <c r="S3" s="188">
        <f>'Picture Major Defects '!S3</f>
      </c>
      <c r="T3" s="174"/>
      <c r="U3" s="174"/>
      <c r="V3" s="174"/>
      <c r="W3" s="174"/>
      <c r="X3" s="174"/>
      <c r="Y3" s="174"/>
      <c r="Z3" s="174"/>
    </row>
    <row r="4" ht="45.75" customHeight="1" spans="1:26" x14ac:dyDescent="0.25">
      <c r="A4" s="253"/>
      <c r="B4" s="190"/>
      <c r="C4" s="190"/>
      <c r="D4" s="190"/>
      <c r="E4" s="215"/>
      <c r="F4" s="254"/>
      <c r="G4" s="190"/>
      <c r="H4" s="190"/>
      <c r="I4" s="190"/>
      <c r="J4" s="215"/>
      <c r="K4" s="254"/>
      <c r="L4" s="190"/>
      <c r="M4" s="190"/>
      <c r="N4" s="190"/>
      <c r="O4" s="215"/>
      <c r="P4" s="254"/>
      <c r="Q4" s="190"/>
      <c r="R4" s="190"/>
      <c r="S4" s="190"/>
      <c r="T4" s="191"/>
      <c r="U4" s="213"/>
      <c r="V4" s="213"/>
      <c r="W4" s="213"/>
      <c r="X4" s="213"/>
      <c r="Y4" s="213"/>
      <c r="Z4" s="213"/>
    </row>
    <row r="5" ht="45.75" customHeight="1" spans="1:26" x14ac:dyDescent="0.25">
      <c r="A5" s="192"/>
      <c r="B5"/>
      <c r="C5"/>
      <c r="D5"/>
      <c r="E5" s="217"/>
      <c r="F5" s="218"/>
      <c r="G5"/>
      <c r="H5"/>
      <c r="I5"/>
      <c r="J5" s="217"/>
      <c r="K5" s="218"/>
      <c r="L5"/>
      <c r="M5"/>
      <c r="N5"/>
      <c r="O5" s="217"/>
      <c r="P5" s="218"/>
      <c r="Q5"/>
      <c r="R5"/>
      <c r="S5"/>
      <c r="T5" s="193"/>
      <c r="U5" s="213"/>
      <c r="V5" s="213"/>
      <c r="W5" s="213"/>
      <c r="X5" s="213"/>
      <c r="Y5" s="213"/>
      <c r="Z5" s="213"/>
    </row>
    <row r="6" ht="45.75" customHeight="1" spans="1:26" x14ac:dyDescent="0.25">
      <c r="A6" s="192"/>
      <c r="B6"/>
      <c r="C6"/>
      <c r="D6"/>
      <c r="E6" s="217"/>
      <c r="F6" s="218"/>
      <c r="G6"/>
      <c r="H6"/>
      <c r="I6"/>
      <c r="J6" s="217"/>
      <c r="K6" s="218"/>
      <c r="L6"/>
      <c r="M6"/>
      <c r="N6"/>
      <c r="O6" s="217"/>
      <c r="P6" s="218"/>
      <c r="Q6"/>
      <c r="R6"/>
      <c r="S6"/>
      <c r="T6" s="193"/>
      <c r="U6" s="213"/>
      <c r="V6" s="213"/>
      <c r="W6" s="213"/>
      <c r="X6" s="213"/>
      <c r="Y6" s="213"/>
      <c r="Z6" s="213"/>
    </row>
    <row r="7" ht="45.75" customHeight="1" spans="1:26" x14ac:dyDescent="0.25">
      <c r="A7" s="192"/>
      <c r="B7"/>
      <c r="C7"/>
      <c r="D7"/>
      <c r="E7" s="217"/>
      <c r="F7" s="218"/>
      <c r="G7"/>
      <c r="H7"/>
      <c r="I7"/>
      <c r="J7" s="217"/>
      <c r="K7" s="218"/>
      <c r="L7"/>
      <c r="M7"/>
      <c r="N7"/>
      <c r="O7" s="217"/>
      <c r="P7" s="218"/>
      <c r="Q7"/>
      <c r="R7"/>
      <c r="S7"/>
      <c r="T7" s="193"/>
      <c r="U7" s="213"/>
      <c r="V7" s="213"/>
      <c r="W7" s="213"/>
      <c r="X7" s="213"/>
      <c r="Y7" s="213"/>
      <c r="Z7" s="213"/>
    </row>
    <row r="8" ht="45.75" customHeight="1" spans="1:26" x14ac:dyDescent="0.25">
      <c r="A8" s="192"/>
      <c r="B8"/>
      <c r="C8"/>
      <c r="D8"/>
      <c r="E8" s="217"/>
      <c r="F8" s="218"/>
      <c r="G8"/>
      <c r="H8"/>
      <c r="I8"/>
      <c r="J8" s="217"/>
      <c r="K8" s="218"/>
      <c r="L8"/>
      <c r="M8"/>
      <c r="N8"/>
      <c r="O8" s="217"/>
      <c r="P8" s="218"/>
      <c r="Q8"/>
      <c r="R8"/>
      <c r="S8"/>
      <c r="T8" s="193"/>
      <c r="U8" s="213"/>
      <c r="V8" s="213"/>
      <c r="W8" s="213"/>
      <c r="X8" s="213"/>
      <c r="Y8" s="213"/>
      <c r="Z8" s="213"/>
    </row>
    <row r="9" ht="45.75" customHeight="1" spans="1:26" x14ac:dyDescent="0.25">
      <c r="A9" s="192"/>
      <c r="B9"/>
      <c r="C9"/>
      <c r="D9"/>
      <c r="E9" s="217"/>
      <c r="F9" s="218"/>
      <c r="G9"/>
      <c r="H9"/>
      <c r="I9"/>
      <c r="J9" s="217"/>
      <c r="K9" s="218"/>
      <c r="L9"/>
      <c r="M9"/>
      <c r="N9"/>
      <c r="O9" s="217"/>
      <c r="P9" s="218"/>
      <c r="Q9"/>
      <c r="R9"/>
      <c r="S9"/>
      <c r="T9" s="193"/>
      <c r="U9" s="213"/>
      <c r="V9" s="213"/>
      <c r="W9" s="213"/>
      <c r="X9" s="213"/>
      <c r="Y9" s="213"/>
      <c r="Z9" s="213"/>
    </row>
    <row r="10" ht="45.75" customHeight="1" spans="1:26" x14ac:dyDescent="0.25">
      <c r="A10" s="192"/>
      <c r="B10"/>
      <c r="C10"/>
      <c r="D10"/>
      <c r="E10" s="217"/>
      <c r="F10" s="218"/>
      <c r="G10"/>
      <c r="H10"/>
      <c r="I10"/>
      <c r="J10" s="217"/>
      <c r="K10" s="218"/>
      <c r="L10"/>
      <c r="M10"/>
      <c r="N10"/>
      <c r="O10" s="217"/>
      <c r="P10" s="218"/>
      <c r="Q10"/>
      <c r="R10"/>
      <c r="S10"/>
      <c r="T10" s="193"/>
      <c r="U10" s="213"/>
      <c r="V10" s="213"/>
      <c r="W10" s="213"/>
      <c r="X10" s="213"/>
      <c r="Y10" s="213"/>
      <c r="Z10" s="213"/>
    </row>
    <row r="11" ht="45.75" customHeight="1" spans="1:26" x14ac:dyDescent="0.25">
      <c r="A11" s="219"/>
      <c r="B11" s="212"/>
      <c r="C11" s="212"/>
      <c r="D11" s="212"/>
      <c r="E11" s="220"/>
      <c r="F11" s="221"/>
      <c r="G11" s="212"/>
      <c r="H11" s="212"/>
      <c r="I11" s="212"/>
      <c r="J11" s="220"/>
      <c r="K11" s="221"/>
      <c r="L11" s="212"/>
      <c r="M11" s="212"/>
      <c r="N11" s="212"/>
      <c r="O11" s="220"/>
      <c r="P11" s="221"/>
      <c r="Q11" s="212"/>
      <c r="R11" s="212"/>
      <c r="S11" s="212"/>
      <c r="T11" s="222"/>
      <c r="U11" s="213"/>
      <c r="V11" s="213"/>
      <c r="W11" s="213"/>
      <c r="X11" s="213"/>
      <c r="Y11" s="213"/>
      <c r="Z11" s="213"/>
    </row>
    <row r="12" ht="45.75" customHeight="1" spans="1:26" x14ac:dyDescent="0.25">
      <c r="A12" s="255"/>
      <c r="B12" s="228"/>
      <c r="C12" s="228"/>
      <c r="D12" s="228"/>
      <c r="E12" s="229"/>
      <c r="F12" s="256"/>
      <c r="G12" s="228"/>
      <c r="H12" s="228"/>
      <c r="I12" s="228"/>
      <c r="J12" s="229"/>
      <c r="K12" s="256"/>
      <c r="L12" s="228"/>
      <c r="M12" s="228"/>
      <c r="N12" s="228"/>
      <c r="O12" s="229"/>
      <c r="P12" s="256"/>
      <c r="Q12" s="228"/>
      <c r="R12" s="228"/>
      <c r="S12" s="228"/>
      <c r="T12" s="231"/>
      <c r="U12" s="213"/>
      <c r="V12" s="213"/>
      <c r="W12" s="213"/>
      <c r="X12" s="213"/>
      <c r="Y12" s="213"/>
      <c r="Z12" s="213"/>
    </row>
    <row r="13" ht="45.75" customHeight="1" spans="1:26" x14ac:dyDescent="0.25">
      <c r="A13" s="192"/>
      <c r="B13"/>
      <c r="C13"/>
      <c r="D13"/>
      <c r="E13" s="217"/>
      <c r="F13" s="218"/>
      <c r="G13"/>
      <c r="H13"/>
      <c r="I13"/>
      <c r="J13" s="217"/>
      <c r="K13" s="218"/>
      <c r="L13"/>
      <c r="M13"/>
      <c r="N13"/>
      <c r="O13" s="217"/>
      <c r="P13" s="218"/>
      <c r="Q13"/>
      <c r="R13"/>
      <c r="S13"/>
      <c r="T13" s="193"/>
      <c r="U13" s="213"/>
      <c r="V13" s="213"/>
      <c r="W13" s="213"/>
      <c r="X13" s="213"/>
      <c r="Y13" s="213"/>
      <c r="Z13" s="213"/>
    </row>
    <row r="14" ht="45.75" customHeight="1" spans="1:26" x14ac:dyDescent="0.25">
      <c r="A14" s="192"/>
      <c r="B14"/>
      <c r="C14"/>
      <c r="D14"/>
      <c r="E14" s="217"/>
      <c r="F14" s="218"/>
      <c r="G14"/>
      <c r="H14"/>
      <c r="I14"/>
      <c r="J14" s="217"/>
      <c r="K14" s="218"/>
      <c r="L14"/>
      <c r="M14"/>
      <c r="N14"/>
      <c r="O14" s="217"/>
      <c r="P14" s="218"/>
      <c r="Q14"/>
      <c r="R14"/>
      <c r="S14"/>
      <c r="T14" s="193"/>
      <c r="U14" s="213"/>
      <c r="V14" s="213"/>
      <c r="W14" s="213"/>
      <c r="X14" s="213"/>
      <c r="Y14" s="213"/>
      <c r="Z14" s="213"/>
    </row>
    <row r="15" ht="45.75" customHeight="1" spans="1:26" x14ac:dyDescent="0.25">
      <c r="A15" s="192"/>
      <c r="B15"/>
      <c r="C15"/>
      <c r="D15"/>
      <c r="E15" s="217"/>
      <c r="F15" s="218"/>
      <c r="G15"/>
      <c r="H15"/>
      <c r="I15"/>
      <c r="J15" s="217"/>
      <c r="K15" s="218"/>
      <c r="L15"/>
      <c r="M15"/>
      <c r="N15"/>
      <c r="O15" s="217"/>
      <c r="P15" s="218"/>
      <c r="Q15"/>
      <c r="R15"/>
      <c r="S15"/>
      <c r="T15" s="193"/>
      <c r="U15" s="213"/>
      <c r="V15" s="213"/>
      <c r="W15" s="213"/>
      <c r="X15" s="213"/>
      <c r="Y15" s="213"/>
      <c r="Z15" s="213"/>
    </row>
    <row r="16" ht="45.75" customHeight="1" spans="1:26" x14ac:dyDescent="0.25">
      <c r="A16" s="192"/>
      <c r="B16"/>
      <c r="C16"/>
      <c r="D16"/>
      <c r="E16" s="217"/>
      <c r="F16" s="218"/>
      <c r="G16"/>
      <c r="H16"/>
      <c r="I16"/>
      <c r="J16" s="217"/>
      <c r="K16" s="218"/>
      <c r="L16"/>
      <c r="M16"/>
      <c r="N16"/>
      <c r="O16" s="217"/>
      <c r="P16" s="218"/>
      <c r="Q16"/>
      <c r="R16"/>
      <c r="S16"/>
      <c r="T16" s="193"/>
      <c r="U16" s="213"/>
      <c r="V16" s="213"/>
      <c r="W16" s="213"/>
      <c r="X16" s="213"/>
      <c r="Y16" s="213"/>
      <c r="Z16" s="213"/>
    </row>
    <row r="17" ht="45.75" customHeight="1" spans="1:26" x14ac:dyDescent="0.25">
      <c r="A17" s="192"/>
      <c r="B17"/>
      <c r="C17"/>
      <c r="D17"/>
      <c r="E17" s="217"/>
      <c r="F17" s="218"/>
      <c r="G17"/>
      <c r="H17"/>
      <c r="I17"/>
      <c r="J17" s="217"/>
      <c r="K17" s="218"/>
      <c r="L17"/>
      <c r="M17"/>
      <c r="N17"/>
      <c r="O17" s="217"/>
      <c r="P17" s="218"/>
      <c r="Q17"/>
      <c r="R17"/>
      <c r="S17"/>
      <c r="T17" s="193"/>
      <c r="U17" s="213"/>
      <c r="V17" s="213"/>
      <c r="W17" s="213"/>
      <c r="X17" s="213"/>
      <c r="Y17" s="213"/>
      <c r="Z17" s="213"/>
    </row>
    <row r="18" ht="45.75" customHeight="1" spans="1:26" x14ac:dyDescent="0.25">
      <c r="A18" s="192"/>
      <c r="B18"/>
      <c r="C18"/>
      <c r="D18"/>
      <c r="E18" s="217"/>
      <c r="F18" s="218"/>
      <c r="G18"/>
      <c r="H18"/>
      <c r="I18"/>
      <c r="J18" s="217"/>
      <c r="K18" s="218"/>
      <c r="L18"/>
      <c r="M18"/>
      <c r="N18"/>
      <c r="O18" s="217"/>
      <c r="P18" s="218"/>
      <c r="Q18"/>
      <c r="R18"/>
      <c r="S18"/>
      <c r="T18" s="193"/>
      <c r="U18" s="213"/>
      <c r="V18" s="213"/>
      <c r="W18" s="213"/>
      <c r="X18" s="213"/>
      <c r="Y18" s="213"/>
      <c r="Z18" s="213"/>
    </row>
    <row r="19" ht="45.75" customHeight="1" spans="1:26" x14ac:dyDescent="0.25">
      <c r="A19" s="219"/>
      <c r="B19" s="212"/>
      <c r="C19" s="212"/>
      <c r="D19" s="212"/>
      <c r="E19" s="220"/>
      <c r="F19" s="221"/>
      <c r="G19" s="212"/>
      <c r="H19" s="212"/>
      <c r="I19" s="212"/>
      <c r="J19" s="220"/>
      <c r="K19" s="221"/>
      <c r="L19" s="212"/>
      <c r="M19" s="212"/>
      <c r="N19" s="212"/>
      <c r="O19" s="220"/>
      <c r="P19" s="221"/>
      <c r="Q19" s="212"/>
      <c r="R19" s="212"/>
      <c r="S19" s="212"/>
      <c r="T19" s="222"/>
      <c r="U19" s="213"/>
      <c r="V19" s="213"/>
      <c r="W19" s="213"/>
      <c r="X19" s="213"/>
      <c r="Y19" s="213"/>
      <c r="Z19" s="213"/>
    </row>
    <row r="20" ht="45.75" customHeight="1" spans="1:26" x14ac:dyDescent="0.25">
      <c r="A20" s="255"/>
      <c r="B20" s="228"/>
      <c r="C20" s="228"/>
      <c r="D20" s="228"/>
      <c r="E20" s="229"/>
      <c r="F20" s="256"/>
      <c r="G20" s="228"/>
      <c r="H20" s="228"/>
      <c r="I20" s="228"/>
      <c r="J20" s="229"/>
      <c r="K20" s="256"/>
      <c r="L20" s="228"/>
      <c r="M20" s="228"/>
      <c r="N20" s="228"/>
      <c r="O20" s="229"/>
      <c r="P20" s="256"/>
      <c r="Q20" s="228"/>
      <c r="R20" s="228"/>
      <c r="S20" s="228"/>
      <c r="T20" s="231"/>
      <c r="U20" s="213"/>
      <c r="V20" s="213"/>
      <c r="W20" s="213"/>
      <c r="X20" s="213"/>
      <c r="Y20" s="213"/>
      <c r="Z20" s="213"/>
    </row>
    <row r="21" ht="45.75" customHeight="1" spans="1:26" x14ac:dyDescent="0.25">
      <c r="A21" s="192"/>
      <c r="B21"/>
      <c r="C21"/>
      <c r="D21"/>
      <c r="E21" s="217"/>
      <c r="F21" s="218"/>
      <c r="G21"/>
      <c r="H21"/>
      <c r="I21"/>
      <c r="J21" s="217"/>
      <c r="K21" s="218"/>
      <c r="L21"/>
      <c r="M21"/>
      <c r="N21"/>
      <c r="O21" s="217"/>
      <c r="P21" s="218"/>
      <c r="Q21"/>
      <c r="R21"/>
      <c r="S21"/>
      <c r="T21" s="193"/>
      <c r="U21" s="213"/>
      <c r="V21" s="213"/>
      <c r="W21" s="213"/>
      <c r="X21" s="213"/>
      <c r="Y21" s="213"/>
      <c r="Z21" s="213"/>
    </row>
    <row r="22" ht="45.75" customHeight="1" spans="1:26" x14ac:dyDescent="0.25">
      <c r="A22" s="192"/>
      <c r="B22"/>
      <c r="C22"/>
      <c r="D22"/>
      <c r="E22" s="217"/>
      <c r="F22" s="218"/>
      <c r="G22"/>
      <c r="H22"/>
      <c r="I22"/>
      <c r="J22" s="217"/>
      <c r="K22" s="218"/>
      <c r="L22"/>
      <c r="M22"/>
      <c r="N22"/>
      <c r="O22" s="217"/>
      <c r="P22" s="218"/>
      <c r="Q22"/>
      <c r="R22"/>
      <c r="S22"/>
      <c r="T22" s="193"/>
      <c r="U22" s="213"/>
      <c r="V22" s="213"/>
      <c r="W22" s="213"/>
      <c r="X22" s="213"/>
      <c r="Y22" s="213"/>
      <c r="Z22" s="213"/>
    </row>
    <row r="23" ht="45.75" customHeight="1" spans="1:26" x14ac:dyDescent="0.25">
      <c r="A23" s="192"/>
      <c r="B23"/>
      <c r="C23"/>
      <c r="D23"/>
      <c r="E23" s="217"/>
      <c r="F23" s="218"/>
      <c r="G23"/>
      <c r="H23"/>
      <c r="I23"/>
      <c r="J23" s="217"/>
      <c r="K23" s="218"/>
      <c r="L23"/>
      <c r="M23"/>
      <c r="N23"/>
      <c r="O23" s="217"/>
      <c r="P23" s="218"/>
      <c r="Q23"/>
      <c r="R23"/>
      <c r="S23"/>
      <c r="T23" s="193"/>
      <c r="U23" s="213"/>
      <c r="V23" s="213"/>
      <c r="W23" s="213"/>
      <c r="X23" s="213"/>
      <c r="Y23" s="213"/>
      <c r="Z23" s="213"/>
    </row>
    <row r="24" ht="45.75" customHeight="1" spans="1:26" x14ac:dyDescent="0.25">
      <c r="A24" s="192"/>
      <c r="B24"/>
      <c r="C24"/>
      <c r="D24"/>
      <c r="E24" s="217"/>
      <c r="F24" s="218"/>
      <c r="G24"/>
      <c r="H24"/>
      <c r="I24"/>
      <c r="J24" s="217"/>
      <c r="K24" s="218"/>
      <c r="L24"/>
      <c r="M24"/>
      <c r="N24"/>
      <c r="O24" s="217"/>
      <c r="P24" s="218"/>
      <c r="Q24"/>
      <c r="R24"/>
      <c r="S24"/>
      <c r="T24" s="193"/>
      <c r="U24" s="213"/>
      <c r="V24" s="213"/>
      <c r="W24" s="213"/>
      <c r="X24" s="213"/>
      <c r="Y24" s="213"/>
      <c r="Z24" s="213"/>
    </row>
    <row r="25" ht="45.75" customHeight="1" spans="1:26" x14ac:dyDescent="0.25">
      <c r="A25" s="192"/>
      <c r="B25"/>
      <c r="C25"/>
      <c r="D25"/>
      <c r="E25" s="217"/>
      <c r="F25" s="218"/>
      <c r="G25"/>
      <c r="H25"/>
      <c r="I25"/>
      <c r="J25" s="217"/>
      <c r="K25" s="218"/>
      <c r="L25"/>
      <c r="M25"/>
      <c r="N25"/>
      <c r="O25" s="217"/>
      <c r="P25" s="218"/>
      <c r="Q25"/>
      <c r="R25"/>
      <c r="S25"/>
      <c r="T25" s="193"/>
      <c r="U25" s="213"/>
      <c r="V25" s="213"/>
      <c r="W25" s="213"/>
      <c r="X25" s="213"/>
      <c r="Y25" s="213"/>
      <c r="Z25" s="213"/>
    </row>
    <row r="26" ht="45.75" customHeight="1" spans="1:26" x14ac:dyDescent="0.25">
      <c r="A26" s="192"/>
      <c r="B26"/>
      <c r="C26"/>
      <c r="D26"/>
      <c r="E26" s="217"/>
      <c r="F26" s="218"/>
      <c r="G26"/>
      <c r="H26"/>
      <c r="I26"/>
      <c r="J26" s="217"/>
      <c r="K26" s="218"/>
      <c r="L26"/>
      <c r="M26"/>
      <c r="N26"/>
      <c r="O26" s="217"/>
      <c r="P26" s="218"/>
      <c r="Q26"/>
      <c r="R26"/>
      <c r="S26"/>
      <c r="T26" s="193"/>
      <c r="U26" s="213"/>
      <c r="V26" s="213"/>
      <c r="W26" s="213"/>
      <c r="X26" s="213"/>
      <c r="Y26" s="213"/>
      <c r="Z26" s="213"/>
    </row>
    <row r="27" ht="45.75" customHeight="1" spans="1:26" x14ac:dyDescent="0.25">
      <c r="A27" s="219"/>
      <c r="B27" s="212"/>
      <c r="C27" s="212"/>
      <c r="D27" s="212"/>
      <c r="E27" s="220"/>
      <c r="F27" s="221"/>
      <c r="G27" s="212"/>
      <c r="H27" s="212"/>
      <c r="I27" s="212"/>
      <c r="J27" s="220"/>
      <c r="K27" s="221"/>
      <c r="L27" s="212"/>
      <c r="M27" s="212"/>
      <c r="N27" s="212"/>
      <c r="O27" s="220"/>
      <c r="P27" s="221"/>
      <c r="Q27" s="212"/>
      <c r="R27" s="212"/>
      <c r="S27" s="212"/>
      <c r="T27" s="222"/>
      <c r="U27" s="213"/>
      <c r="V27" s="213"/>
      <c r="W27" s="213"/>
      <c r="X27" s="213"/>
      <c r="Y27" s="213"/>
      <c r="Z27" s="213"/>
    </row>
    <row r="28" ht="45.75" customHeight="1" spans="1:26" x14ac:dyDescent="0.25">
      <c r="A28" s="255"/>
      <c r="B28" s="228"/>
      <c r="C28" s="228"/>
      <c r="D28" s="228"/>
      <c r="E28" s="229"/>
      <c r="F28" s="256"/>
      <c r="G28" s="228"/>
      <c r="H28" s="228"/>
      <c r="I28" s="228"/>
      <c r="J28" s="229"/>
      <c r="K28" s="256"/>
      <c r="L28" s="228"/>
      <c r="M28" s="228"/>
      <c r="N28" s="228"/>
      <c r="O28" s="229"/>
      <c r="P28" s="256"/>
      <c r="Q28" s="228"/>
      <c r="R28" s="228"/>
      <c r="S28" s="228"/>
      <c r="T28" s="231"/>
      <c r="U28" s="213"/>
      <c r="V28" s="213"/>
      <c r="W28" s="213"/>
      <c r="X28" s="213"/>
      <c r="Y28" s="213"/>
      <c r="Z28" s="213"/>
    </row>
    <row r="29" ht="45.75" customHeight="1" spans="1:26" x14ac:dyDescent="0.25">
      <c r="A29" s="192"/>
      <c r="B29"/>
      <c r="C29"/>
      <c r="D29"/>
      <c r="E29" s="217"/>
      <c r="F29" s="218"/>
      <c r="G29"/>
      <c r="H29"/>
      <c r="I29"/>
      <c r="J29" s="217"/>
      <c r="K29" s="218"/>
      <c r="L29"/>
      <c r="M29"/>
      <c r="N29"/>
      <c r="O29" s="217"/>
      <c r="P29" s="218"/>
      <c r="Q29"/>
      <c r="R29"/>
      <c r="S29"/>
      <c r="T29" s="193"/>
      <c r="U29" s="213"/>
      <c r="V29" s="213"/>
      <c r="W29" s="213"/>
      <c r="X29" s="213"/>
      <c r="Y29" s="213"/>
      <c r="Z29" s="213"/>
    </row>
    <row r="30" ht="45.75" customHeight="1" spans="1:26" x14ac:dyDescent="0.25">
      <c r="A30" s="192"/>
      <c r="B30"/>
      <c r="C30"/>
      <c r="D30"/>
      <c r="E30" s="217"/>
      <c r="F30" s="218"/>
      <c r="G30"/>
      <c r="H30"/>
      <c r="I30"/>
      <c r="J30" s="217"/>
      <c r="K30" s="218"/>
      <c r="L30"/>
      <c r="M30"/>
      <c r="N30"/>
      <c r="O30" s="217"/>
      <c r="P30" s="218"/>
      <c r="Q30"/>
      <c r="R30"/>
      <c r="S30"/>
      <c r="T30" s="193"/>
      <c r="U30" s="213"/>
      <c r="V30" s="213"/>
      <c r="W30" s="213"/>
      <c r="X30" s="213"/>
      <c r="Y30" s="213"/>
      <c r="Z30" s="213"/>
    </row>
    <row r="31" ht="45.75" customHeight="1" spans="1:26" x14ac:dyDescent="0.25">
      <c r="A31" s="192"/>
      <c r="B31"/>
      <c r="C31"/>
      <c r="D31"/>
      <c r="E31" s="217"/>
      <c r="F31" s="218"/>
      <c r="G31"/>
      <c r="H31"/>
      <c r="I31"/>
      <c r="J31" s="217"/>
      <c r="K31" s="218"/>
      <c r="L31"/>
      <c r="M31"/>
      <c r="N31"/>
      <c r="O31" s="217"/>
      <c r="P31" s="218"/>
      <c r="Q31"/>
      <c r="R31"/>
      <c r="S31"/>
      <c r="T31" s="193"/>
      <c r="U31" s="213"/>
      <c r="V31" s="213"/>
      <c r="W31" s="213"/>
      <c r="X31" s="213"/>
      <c r="Y31" s="213"/>
      <c r="Z31" s="213"/>
    </row>
    <row r="32" ht="45.75" customHeight="1" spans="1:26" x14ac:dyDescent="0.25">
      <c r="A32" s="192"/>
      <c r="B32"/>
      <c r="C32"/>
      <c r="D32"/>
      <c r="E32" s="217"/>
      <c r="F32" s="218"/>
      <c r="G32"/>
      <c r="H32"/>
      <c r="I32"/>
      <c r="J32" s="217"/>
      <c r="K32" s="218"/>
      <c r="L32"/>
      <c r="M32"/>
      <c r="N32"/>
      <c r="O32" s="217"/>
      <c r="P32" s="218"/>
      <c r="Q32"/>
      <c r="R32"/>
      <c r="S32"/>
      <c r="T32" s="193"/>
      <c r="U32" s="213"/>
      <c r="V32" s="213"/>
      <c r="W32" s="213"/>
      <c r="X32" s="213"/>
      <c r="Y32" s="213"/>
      <c r="Z32" s="213"/>
    </row>
    <row r="33" ht="45.75" customHeight="1" spans="1:26" x14ac:dyDescent="0.25">
      <c r="A33" s="192"/>
      <c r="B33"/>
      <c r="C33"/>
      <c r="D33"/>
      <c r="E33" s="217"/>
      <c r="F33" s="218"/>
      <c r="G33"/>
      <c r="H33"/>
      <c r="I33"/>
      <c r="J33" s="217"/>
      <c r="K33" s="218"/>
      <c r="L33"/>
      <c r="M33"/>
      <c r="N33"/>
      <c r="O33" s="217"/>
      <c r="P33" s="218"/>
      <c r="Q33"/>
      <c r="R33"/>
      <c r="S33"/>
      <c r="T33" s="193"/>
      <c r="U33" s="213"/>
      <c r="V33" s="213"/>
      <c r="W33" s="213"/>
      <c r="X33" s="213"/>
      <c r="Y33" s="213"/>
      <c r="Z33" s="213"/>
    </row>
    <row r="34" ht="45.75" customHeight="1" spans="1:26" x14ac:dyDescent="0.25">
      <c r="A34" s="192"/>
      <c r="B34"/>
      <c r="C34"/>
      <c r="D34"/>
      <c r="E34" s="217"/>
      <c r="F34" s="218"/>
      <c r="G34"/>
      <c r="H34"/>
      <c r="I34"/>
      <c r="J34" s="217"/>
      <c r="K34" s="218"/>
      <c r="L34"/>
      <c r="M34"/>
      <c r="N34"/>
      <c r="O34" s="217"/>
      <c r="P34" s="218"/>
      <c r="Q34"/>
      <c r="R34"/>
      <c r="S34"/>
      <c r="T34" s="193"/>
      <c r="U34" s="213"/>
      <c r="V34" s="213"/>
      <c r="W34" s="213"/>
      <c r="X34" s="213"/>
      <c r="Y34" s="213"/>
      <c r="Z34" s="213"/>
    </row>
    <row r="35" ht="45.75" customHeight="1" spans="1:26" x14ac:dyDescent="0.25">
      <c r="A35" s="219"/>
      <c r="B35" s="212"/>
      <c r="C35" s="212"/>
      <c r="D35" s="212"/>
      <c r="E35" s="220"/>
      <c r="F35" s="221"/>
      <c r="G35" s="212"/>
      <c r="H35" s="212"/>
      <c r="I35" s="212"/>
      <c r="J35" s="220"/>
      <c r="K35" s="221"/>
      <c r="L35" s="212"/>
      <c r="M35" s="212"/>
      <c r="N35" s="212"/>
      <c r="O35" s="220"/>
      <c r="P35" s="221"/>
      <c r="Q35" s="212"/>
      <c r="R35" s="212"/>
      <c r="S35" s="212"/>
      <c r="T35" s="222"/>
      <c r="U35" s="213"/>
      <c r="V35" s="213"/>
      <c r="W35" s="213"/>
      <c r="X35" s="213"/>
      <c r="Y35" s="213"/>
      <c r="Z35" s="213"/>
    </row>
    <row r="36" ht="51" customHeight="1" spans="1:26" x14ac:dyDescent="0.25">
      <c r="A36" s="238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s="213"/>
      <c r="V36" s="213"/>
      <c r="W36" s="213"/>
      <c r="X36" s="213"/>
      <c r="Y36" s="213"/>
      <c r="Z36" s="213"/>
    </row>
    <row r="37" ht="13.5" customHeight="1" spans="1:26" x14ac:dyDescent="0.25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ht="13.5" customHeight="1" spans="1:26" x14ac:dyDescent="0.25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ht="13.5" customHeight="1" spans="1:26" x14ac:dyDescent="0.25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ht="13.5" customHeight="1" spans="1:26" x14ac:dyDescent="0.25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ht="13.5" customHeight="1" spans="1:26" x14ac:dyDescent="0.25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ht="13.5" customHeight="1" spans="1:26" x14ac:dyDescent="0.25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ht="13.5" customHeight="1" spans="1:26" x14ac:dyDescent="0.25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ht="13.5" customHeight="1" spans="1:26" x14ac:dyDescent="0.25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ht="13.5" customHeight="1" spans="1:26" x14ac:dyDescent="0.2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ht="13.5" customHeight="1" spans="1:26" x14ac:dyDescent="0.25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ht="13.5" customHeight="1" spans="1:26" x14ac:dyDescent="0.25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ht="13.5" customHeight="1" spans="1:26" x14ac:dyDescent="0.25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ht="13.5" customHeight="1" spans="1:26" x14ac:dyDescent="0.25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ht="13.5" customHeight="1" spans="1:26" x14ac:dyDescent="0.25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ht="13.5" customHeight="1" spans="1:26" x14ac:dyDescent="0.25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ht="13.5" customHeight="1" spans="1:26" x14ac:dyDescent="0.25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ht="13.5" customHeight="1" spans="1:26" x14ac:dyDescent="0.25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ht="13.5" customHeight="1" spans="1:26" x14ac:dyDescent="0.25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ht="13.5" customHeight="1" spans="1:26" x14ac:dyDescent="0.25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ht="13.5" customHeight="1" spans="1:26" x14ac:dyDescent="0.25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ht="13.5" customHeight="1" spans="1:26" x14ac:dyDescent="0.25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ht="13.5" customHeight="1" spans="1:26" x14ac:dyDescent="0.25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ht="13.5" customHeight="1" spans="1:26" x14ac:dyDescent="0.25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ht="13.5" customHeight="1" spans="1:26" x14ac:dyDescent="0.25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ht="13.5" customHeight="1" spans="1:26" x14ac:dyDescent="0.25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ht="13.5" customHeight="1" spans="1:26" x14ac:dyDescent="0.25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ht="13.5" customHeight="1" spans="1:26" x14ac:dyDescent="0.25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ht="13.5" customHeight="1" spans="1:26" x14ac:dyDescent="0.25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ht="13.5" customHeight="1" spans="1:26" x14ac:dyDescent="0.2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ht="13.5" customHeight="1" spans="1:26" x14ac:dyDescent="0.25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ht="13.5" customHeight="1" spans="1:26" x14ac:dyDescent="0.25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ht="13.5" customHeight="1" spans="1:26" x14ac:dyDescent="0.25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ht="13.5" customHeight="1" spans="1:26" x14ac:dyDescent="0.25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ht="13.5" customHeight="1" spans="1:26" x14ac:dyDescent="0.25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ht="13.5" customHeight="1" spans="1:26" x14ac:dyDescent="0.25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ht="13.5" customHeight="1" spans="1:26" x14ac:dyDescent="0.25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ht="13.5" customHeight="1" spans="1:26" x14ac:dyDescent="0.25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ht="13.5" customHeight="1" spans="1:26" x14ac:dyDescent="0.25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ht="13.5" customHeight="1" spans="1:26" x14ac:dyDescent="0.2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ht="13.5" customHeight="1" spans="1:26" x14ac:dyDescent="0.25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ht="13.5" customHeight="1" spans="1:26" x14ac:dyDescent="0.25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ht="13.5" customHeight="1" spans="1:26" x14ac:dyDescent="0.25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ht="13.5" customHeight="1" spans="1:26" x14ac:dyDescent="0.25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ht="13.5" customHeight="1" spans="1:26" x14ac:dyDescent="0.25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ht="13.5" customHeight="1" spans="1:26" x14ac:dyDescent="0.25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ht="13.5" customHeight="1" spans="1:26" x14ac:dyDescent="0.25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ht="13.5" customHeight="1" spans="1:26" x14ac:dyDescent="0.25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ht="13.5" customHeight="1" spans="1:26" x14ac:dyDescent="0.25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ht="13.5" customHeight="1" spans="1:26" x14ac:dyDescent="0.2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ht="13.5" customHeight="1" spans="1:26" x14ac:dyDescent="0.25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ht="13.5" customHeight="1" spans="1:26" x14ac:dyDescent="0.25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ht="13.5" customHeight="1" spans="1:26" x14ac:dyDescent="0.25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ht="13.5" customHeight="1" spans="1:26" x14ac:dyDescent="0.25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ht="13.5" customHeight="1" spans="1:26" x14ac:dyDescent="0.25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ht="13.5" customHeight="1" spans="1:26" x14ac:dyDescent="0.25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ht="13.5" customHeight="1" spans="1:26" x14ac:dyDescent="0.25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ht="13.5" customHeight="1" spans="1:26" x14ac:dyDescent="0.25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ht="13.5" customHeight="1" spans="1:26" x14ac:dyDescent="0.25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ht="13.5" customHeight="1" spans="1:26" x14ac:dyDescent="0.2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ht="13.5" customHeight="1" spans="1:26" x14ac:dyDescent="0.25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ht="13.5" customHeight="1" spans="1:26" x14ac:dyDescent="0.25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ht="13.5" customHeight="1" spans="1:26" x14ac:dyDescent="0.25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ht="13.5" customHeight="1" spans="1:26" x14ac:dyDescent="0.25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ht="13.5" customHeight="1" spans="1:26" x14ac:dyDescent="0.25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13.5" customHeight="1" spans="1:26" x14ac:dyDescent="0.25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13.5" customHeight="1" spans="1:26" x14ac:dyDescent="0.25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13.5" customHeight="1" spans="1:26" x14ac:dyDescent="0.25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13.5" customHeight="1" spans="1:26" x14ac:dyDescent="0.25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13.5" customHeight="1" spans="1:26" x14ac:dyDescent="0.2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ht="13.5" customHeight="1" spans="1:26" x14ac:dyDescent="0.25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ht="13.5" customHeight="1" spans="1:26" x14ac:dyDescent="0.25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ht="13.5" customHeight="1" spans="1:26" x14ac:dyDescent="0.25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ht="13.5" customHeight="1" spans="1:26" x14ac:dyDescent="0.25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ht="13.5" customHeight="1" spans="1:26" x14ac:dyDescent="0.25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ht="13.5" customHeight="1" spans="1:26" x14ac:dyDescent="0.25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ht="13.5" customHeight="1" spans="1:26" x14ac:dyDescent="0.25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ht="13.5" customHeight="1" spans="1:26" x14ac:dyDescent="0.25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ht="13.5" customHeight="1" spans="1:26" x14ac:dyDescent="0.25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ht="13.5" customHeight="1" spans="1:26" x14ac:dyDescent="0.2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ht="13.5" customHeight="1" spans="1:26" x14ac:dyDescent="0.25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ht="13.5" customHeight="1" spans="1:26" x14ac:dyDescent="0.25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ht="13.5" customHeight="1" spans="1:26" x14ac:dyDescent="0.25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ht="13.5" customHeight="1" spans="1:26" x14ac:dyDescent="0.25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ht="13.5" customHeight="1" spans="1:26" x14ac:dyDescent="0.25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ht="13.5" customHeight="1" spans="1:26" x14ac:dyDescent="0.25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ht="13.5" customHeight="1" spans="1:26" x14ac:dyDescent="0.25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ht="13.5" customHeight="1" spans="1:26" x14ac:dyDescent="0.25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ht="13.5" customHeight="1" spans="1:26" x14ac:dyDescent="0.25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ht="13.5" customHeight="1" spans="1:26" x14ac:dyDescent="0.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ht="13.5" customHeight="1" spans="1:26" x14ac:dyDescent="0.25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ht="13.5" customHeight="1" spans="1:26" x14ac:dyDescent="0.25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ht="13.5" customHeight="1" spans="1:26" x14ac:dyDescent="0.25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ht="13.5" customHeight="1" spans="1:26" x14ac:dyDescent="0.25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ht="13.5" customHeight="1" spans="1:26" x14ac:dyDescent="0.25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ht="13.5" customHeight="1" spans="1:26" x14ac:dyDescent="0.25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ht="13.5" customHeight="1" spans="1:26" x14ac:dyDescent="0.25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ht="13.5" customHeight="1" spans="1:26" x14ac:dyDescent="0.25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ht="13.5" customHeight="1" spans="1:26" x14ac:dyDescent="0.25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ht="13.5" customHeight="1" spans="1:26" x14ac:dyDescent="0.2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ht="13.5" customHeight="1" spans="1:26" x14ac:dyDescent="0.25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ht="13.5" customHeight="1" spans="1:26" x14ac:dyDescent="0.25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ht="13.5" customHeight="1" spans="1:26" x14ac:dyDescent="0.25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ht="13.5" customHeight="1" spans="1:26" x14ac:dyDescent="0.25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ht="13.5" customHeight="1" spans="1:26" x14ac:dyDescent="0.25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ht="13.5" customHeight="1" spans="1:26" x14ac:dyDescent="0.25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ht="13.5" customHeight="1" spans="1:26" x14ac:dyDescent="0.25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ht="13.5" customHeight="1" spans="1:26" x14ac:dyDescent="0.25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ht="13.5" customHeight="1" spans="1:26" x14ac:dyDescent="0.25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ht="13.5" customHeight="1" spans="1:26" x14ac:dyDescent="0.2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ht="13.5" customHeight="1" spans="1:26" x14ac:dyDescent="0.25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ht="13.5" customHeight="1" spans="1:26" x14ac:dyDescent="0.25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ht="13.5" customHeight="1" spans="1:26" x14ac:dyDescent="0.25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ht="13.5" customHeight="1" spans="1:26" x14ac:dyDescent="0.25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ht="13.5" customHeight="1" spans="1:26" x14ac:dyDescent="0.25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ht="13.5" customHeight="1" spans="1:26" x14ac:dyDescent="0.25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ht="13.5" customHeight="1" spans="1:26" x14ac:dyDescent="0.25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ht="13.5" customHeight="1" spans="1:26" x14ac:dyDescent="0.25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ht="13.5" customHeight="1" spans="1:26" x14ac:dyDescent="0.25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ht="13.5" customHeight="1" spans="1:26" x14ac:dyDescent="0.2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ht="13.5" customHeight="1" spans="1:26" x14ac:dyDescent="0.25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ht="13.5" customHeight="1" spans="1:26" x14ac:dyDescent="0.25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ht="13.5" customHeight="1" spans="1:26" x14ac:dyDescent="0.25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ht="13.5" customHeight="1" spans="1:26" x14ac:dyDescent="0.25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ht="13.5" customHeight="1" spans="1:26" x14ac:dyDescent="0.25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ht="13.5" customHeight="1" spans="1:26" x14ac:dyDescent="0.25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ht="13.5" customHeight="1" spans="1:26" x14ac:dyDescent="0.25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ht="13.5" customHeight="1" spans="1:26" x14ac:dyDescent="0.25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ht="13.5" customHeight="1" spans="1:26" x14ac:dyDescent="0.25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ht="13.5" customHeight="1" spans="1:26" x14ac:dyDescent="0.2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ht="13.5" customHeight="1" spans="1:26" x14ac:dyDescent="0.25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ht="13.5" customHeight="1" spans="1:26" x14ac:dyDescent="0.25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ht="13.5" customHeight="1" spans="1:26" x14ac:dyDescent="0.25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ht="13.5" customHeight="1" spans="1:26" x14ac:dyDescent="0.25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ht="13.5" customHeight="1" spans="1:26" x14ac:dyDescent="0.25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ht="13.5" customHeight="1" spans="1:26" x14ac:dyDescent="0.25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ht="13.5" customHeight="1" spans="1:26" x14ac:dyDescent="0.25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ht="13.5" customHeight="1" spans="1:26" x14ac:dyDescent="0.25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ht="13.5" customHeight="1" spans="1:26" x14ac:dyDescent="0.25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ht="13.5" customHeight="1" spans="1:26" x14ac:dyDescent="0.2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ht="13.5" customHeight="1" spans="1:26" x14ac:dyDescent="0.25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ht="13.5" customHeight="1" spans="1:26" x14ac:dyDescent="0.25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ht="13.5" customHeight="1" spans="1:26" x14ac:dyDescent="0.25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ht="13.5" customHeight="1" spans="1:26" x14ac:dyDescent="0.25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ht="13.5" customHeight="1" spans="1:26" x14ac:dyDescent="0.25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ht="13.5" customHeight="1" spans="1:26" x14ac:dyDescent="0.25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ht="13.5" customHeight="1" spans="1:26" x14ac:dyDescent="0.25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ht="13.5" customHeight="1" spans="1:26" x14ac:dyDescent="0.25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ht="13.5" customHeight="1" spans="1:26" x14ac:dyDescent="0.25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ht="13.5" customHeight="1" spans="1:26" x14ac:dyDescent="0.2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ht="13.5" customHeight="1" spans="1:26" x14ac:dyDescent="0.25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ht="13.5" customHeight="1" spans="1:26" x14ac:dyDescent="0.25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ht="13.5" customHeight="1" spans="1:26" x14ac:dyDescent="0.25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ht="13.5" customHeight="1" spans="1:26" x14ac:dyDescent="0.25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ht="13.5" customHeight="1" spans="1:26" x14ac:dyDescent="0.25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ht="13.5" customHeight="1" spans="1:26" x14ac:dyDescent="0.25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ht="13.5" customHeight="1" spans="1:26" x14ac:dyDescent="0.25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ht="13.5" customHeight="1" spans="1:26" x14ac:dyDescent="0.25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ht="13.5" customHeight="1" spans="1:26" x14ac:dyDescent="0.25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ht="13.5" customHeight="1" spans="1:26" x14ac:dyDescent="0.2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ht="13.5" customHeight="1" spans="1:26" x14ac:dyDescent="0.25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ht="13.5" customHeight="1" spans="1:26" x14ac:dyDescent="0.25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ht="13.5" customHeight="1" spans="1:26" x14ac:dyDescent="0.25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ht="13.5" customHeight="1" spans="1:26" x14ac:dyDescent="0.25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ht="13.5" customHeight="1" spans="1:26" x14ac:dyDescent="0.25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ht="13.5" customHeight="1" spans="1:26" x14ac:dyDescent="0.25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ht="13.5" customHeight="1" spans="1:26" x14ac:dyDescent="0.25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ht="13.5" customHeight="1" spans="1:26" x14ac:dyDescent="0.25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ht="13.5" customHeight="1" spans="1:26" x14ac:dyDescent="0.25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ht="13.5" customHeight="1" spans="1:26" x14ac:dyDescent="0.2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ht="13.5" customHeight="1" spans="1:26" x14ac:dyDescent="0.25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ht="13.5" customHeight="1" spans="1:26" x14ac:dyDescent="0.25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ht="13.5" customHeight="1" spans="1:26" x14ac:dyDescent="0.25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ht="13.5" customHeight="1" spans="1:26" x14ac:dyDescent="0.25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ht="13.5" customHeight="1" spans="1:26" x14ac:dyDescent="0.25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ht="13.5" customHeight="1" spans="1:26" x14ac:dyDescent="0.25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ht="13.5" customHeight="1" spans="1:26" x14ac:dyDescent="0.25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ht="13.5" customHeight="1" spans="1:26" x14ac:dyDescent="0.25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ht="13.5" customHeight="1" spans="1:26" x14ac:dyDescent="0.25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ht="13.5" customHeight="1" spans="1:26" x14ac:dyDescent="0.2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ht="13.5" customHeight="1" spans="1:26" x14ac:dyDescent="0.25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ht="13.5" customHeight="1" spans="1:26" x14ac:dyDescent="0.25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ht="13.5" customHeight="1" spans="1:26" x14ac:dyDescent="0.25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ht="13.5" customHeight="1" spans="1:26" x14ac:dyDescent="0.25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ht="13.5" customHeight="1" spans="1:26" x14ac:dyDescent="0.25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ht="13.5" customHeight="1" spans="1:26" x14ac:dyDescent="0.25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ht="13.5" customHeight="1" spans="1:26" x14ac:dyDescent="0.25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ht="13.5" customHeight="1" spans="1:26" x14ac:dyDescent="0.25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ht="13.5" customHeight="1" spans="1:26" x14ac:dyDescent="0.25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ht="13.5" customHeight="1" spans="1:26" x14ac:dyDescent="0.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ht="13.5" customHeight="1" spans="1:26" x14ac:dyDescent="0.25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ht="13.5" customHeight="1" spans="1:26" x14ac:dyDescent="0.25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ht="13.5" customHeight="1" spans="1:26" x14ac:dyDescent="0.25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ht="13.5" customHeight="1" spans="1:26" x14ac:dyDescent="0.25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ht="13.5" customHeight="1" spans="1:26" x14ac:dyDescent="0.25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ht="13.5" customHeight="1" spans="1:26" x14ac:dyDescent="0.25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ht="13.5" customHeight="1" spans="1:26" x14ac:dyDescent="0.25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ht="13.5" customHeight="1" spans="1:26" x14ac:dyDescent="0.25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ht="13.5" customHeight="1" spans="1:26" x14ac:dyDescent="0.25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ht="13.5" customHeight="1" spans="1:26" x14ac:dyDescent="0.2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ht="13.5" customHeight="1" spans="1:26" x14ac:dyDescent="0.25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ht="13.5" customHeight="1" spans="1:26" x14ac:dyDescent="0.25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ht="13.5" customHeight="1" spans="1:26" x14ac:dyDescent="0.25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ht="13.5" customHeight="1" spans="1:26" x14ac:dyDescent="0.25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ht="13.5" customHeight="1" spans="1:26" x14ac:dyDescent="0.25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ht="13.5" customHeight="1" spans="1:26" x14ac:dyDescent="0.25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ht="13.5" customHeight="1" spans="1:26" x14ac:dyDescent="0.25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ht="13.5" customHeight="1" spans="1:26" x14ac:dyDescent="0.25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ht="13.5" customHeight="1" spans="1:26" x14ac:dyDescent="0.25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ht="13.5" customHeight="1" spans="1:26" x14ac:dyDescent="0.2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ht="13.5" customHeight="1" spans="1:26" x14ac:dyDescent="0.25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ht="13.5" customHeight="1" spans="1:26" x14ac:dyDescent="0.25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ht="13.5" customHeight="1" spans="1:26" x14ac:dyDescent="0.25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ht="13.5" customHeight="1" spans="1:26" x14ac:dyDescent="0.25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ht="13.5" customHeight="1" spans="1:26" x14ac:dyDescent="0.25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ht="13.5" customHeight="1" spans="1:26" x14ac:dyDescent="0.25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ht="13.5" customHeight="1" spans="1:26" x14ac:dyDescent="0.25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ht="13.5" customHeight="1" spans="1:26" x14ac:dyDescent="0.25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ht="13.5" customHeight="1" spans="1:26" x14ac:dyDescent="0.25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ht="13.5" customHeight="1" spans="1:26" x14ac:dyDescent="0.2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ht="13.5" customHeight="1" spans="1:26" x14ac:dyDescent="0.25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ht="13.5" customHeight="1" spans="1:26" x14ac:dyDescent="0.25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ht="13.5" customHeight="1" spans="1:26" x14ac:dyDescent="0.25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ht="13.5" customHeight="1" spans="1:26" x14ac:dyDescent="0.25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ht="13.5" customHeight="1" spans="1:26" x14ac:dyDescent="0.25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ht="13.5" customHeight="1" spans="1:26" x14ac:dyDescent="0.25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ht="13.5" customHeight="1" spans="1:26" x14ac:dyDescent="0.25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ht="13.5" customHeight="1" spans="1:26" x14ac:dyDescent="0.25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ht="13.5" customHeight="1" spans="1:26" x14ac:dyDescent="0.25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ht="13.5" customHeight="1" spans="1:26" x14ac:dyDescent="0.2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ht="13.5" customHeight="1" spans="1:26" x14ac:dyDescent="0.25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ht="13.5" customHeight="1" spans="1:26" x14ac:dyDescent="0.25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ht="13.5" customHeight="1" spans="1:26" x14ac:dyDescent="0.25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ht="13.5" customHeight="1" spans="1:26" x14ac:dyDescent="0.25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ht="13.5" customHeight="1" spans="1:26" x14ac:dyDescent="0.25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ht="13.5" customHeight="1" spans="1:26" x14ac:dyDescent="0.25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ht="13.5" customHeight="1" spans="1:26" x14ac:dyDescent="0.25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ht="13.5" customHeight="1" spans="1:26" x14ac:dyDescent="0.25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ht="13.5" customHeight="1" spans="1:26" x14ac:dyDescent="0.25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ht="13.5" customHeight="1" spans="1:26" x14ac:dyDescent="0.2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ht="13.5" customHeight="1" spans="1:26" x14ac:dyDescent="0.25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ht="13.5" customHeight="1" spans="1:26" x14ac:dyDescent="0.25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ht="13.5" customHeight="1" spans="1:26" x14ac:dyDescent="0.25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ht="13.5" customHeight="1" spans="1:26" x14ac:dyDescent="0.25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ht="13.5" customHeight="1" spans="1:26" x14ac:dyDescent="0.25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ht="13.5" customHeight="1" spans="1:26" x14ac:dyDescent="0.25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ht="13.5" customHeight="1" spans="1:26" x14ac:dyDescent="0.25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ht="13.5" customHeight="1" spans="1:26" x14ac:dyDescent="0.25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ht="13.5" customHeight="1" spans="1:26" x14ac:dyDescent="0.25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ht="13.5" customHeight="1" spans="1:26" x14ac:dyDescent="0.2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ht="13.5" customHeight="1" spans="1:26" x14ac:dyDescent="0.25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ht="13.5" customHeight="1" spans="1:26" x14ac:dyDescent="0.25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ht="13.5" customHeight="1" spans="1:26" x14ac:dyDescent="0.25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ht="13.5" customHeight="1" spans="1:26" x14ac:dyDescent="0.25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ht="13.5" customHeight="1" spans="1:26" x14ac:dyDescent="0.25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ht="13.5" customHeight="1" spans="1:26" x14ac:dyDescent="0.25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ht="13.5" customHeight="1" spans="1:26" x14ac:dyDescent="0.25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ht="13.5" customHeight="1" spans="1:26" x14ac:dyDescent="0.25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ht="13.5" customHeight="1" spans="1:26" x14ac:dyDescent="0.25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ht="13.5" customHeight="1" spans="1:26" x14ac:dyDescent="0.2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ht="13.5" customHeight="1" spans="1:26" x14ac:dyDescent="0.25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ht="13.5" customHeight="1" spans="1:26" x14ac:dyDescent="0.25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ht="13.5" customHeight="1" spans="1:26" x14ac:dyDescent="0.25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ht="13.5" customHeight="1" spans="1:26" x14ac:dyDescent="0.25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ht="13.5" customHeight="1" spans="1:26" x14ac:dyDescent="0.25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ht="13.5" customHeight="1" spans="1:26" x14ac:dyDescent="0.25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ht="13.5" customHeight="1" spans="1:26" x14ac:dyDescent="0.25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13.5" customHeight="1" spans="1:26" x14ac:dyDescent="0.25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13.5" customHeight="1" spans="1:26" x14ac:dyDescent="0.25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ht="13.5" customHeight="1" spans="1:26" x14ac:dyDescent="0.2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ht="13.5" customHeight="1" spans="1:26" x14ac:dyDescent="0.25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13.5" customHeight="1" spans="1:26" x14ac:dyDescent="0.25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13.5" customHeight="1" spans="1:26" x14ac:dyDescent="0.25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ht="13.5" customHeight="1" spans="1:26" x14ac:dyDescent="0.25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ht="13.5" customHeight="1" spans="1:26" x14ac:dyDescent="0.25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ht="13.5" customHeight="1" spans="1:26" x14ac:dyDescent="0.25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ht="13.5" customHeight="1" spans="1:26" x14ac:dyDescent="0.25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ht="13.5" customHeight="1" spans="1:26" x14ac:dyDescent="0.25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ht="13.5" customHeight="1" spans="1:26" x14ac:dyDescent="0.25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ht="13.5" customHeight="1" spans="1:26" x14ac:dyDescent="0.2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ht="13.5" customHeight="1" spans="1:26" x14ac:dyDescent="0.25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ht="13.5" customHeight="1" spans="1:26" x14ac:dyDescent="0.25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ht="13.5" customHeight="1" spans="1:26" x14ac:dyDescent="0.25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ht="13.5" customHeight="1" spans="1:26" x14ac:dyDescent="0.25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ht="13.5" customHeight="1" spans="1:26" x14ac:dyDescent="0.25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ht="13.5" customHeight="1" spans="1:26" x14ac:dyDescent="0.25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ht="13.5" customHeight="1" spans="1:26" x14ac:dyDescent="0.25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ht="13.5" customHeight="1" spans="1:26" x14ac:dyDescent="0.25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ht="13.5" customHeight="1" spans="1:26" x14ac:dyDescent="0.25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ht="13.5" customHeight="1" spans="1:26" x14ac:dyDescent="0.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ht="13.5" customHeight="1" spans="1:26" x14ac:dyDescent="0.25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ht="13.5" customHeight="1" spans="1:26" x14ac:dyDescent="0.25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ht="13.5" customHeight="1" spans="1:26" x14ac:dyDescent="0.25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ht="13.5" customHeight="1" spans="1:26" x14ac:dyDescent="0.25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ht="13.5" customHeight="1" spans="1:26" x14ac:dyDescent="0.25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ht="13.5" customHeight="1" spans="1:26" x14ac:dyDescent="0.25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ht="13.5" customHeight="1" spans="1:26" x14ac:dyDescent="0.25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ht="13.5" customHeight="1" spans="1:26" x14ac:dyDescent="0.25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ht="13.5" customHeight="1" spans="1:26" x14ac:dyDescent="0.25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ht="13.5" customHeight="1" spans="1:26" x14ac:dyDescent="0.2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ht="13.5" customHeight="1" spans="1:26" x14ac:dyDescent="0.25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ht="13.5" customHeight="1" spans="1:26" x14ac:dyDescent="0.25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ht="13.5" customHeight="1" spans="1:26" x14ac:dyDescent="0.25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ht="13.5" customHeight="1" spans="1:26" x14ac:dyDescent="0.25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ht="13.5" customHeight="1" spans="1:26" x14ac:dyDescent="0.25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ht="13.5" customHeight="1" spans="1:26" x14ac:dyDescent="0.25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ht="13.5" customHeight="1" spans="1:26" x14ac:dyDescent="0.25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ht="13.5" customHeight="1" spans="1:26" x14ac:dyDescent="0.25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ht="13.5" customHeight="1" spans="1:26" x14ac:dyDescent="0.25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ht="13.5" customHeight="1" spans="1:26" x14ac:dyDescent="0.2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ht="13.5" customHeight="1" spans="1:26" x14ac:dyDescent="0.25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ht="13.5" customHeight="1" spans="1:26" x14ac:dyDescent="0.25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ht="13.5" customHeight="1" spans="1:26" x14ac:dyDescent="0.25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ht="13.5" customHeight="1" spans="1:26" x14ac:dyDescent="0.25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ht="13.5" customHeight="1" spans="1:26" x14ac:dyDescent="0.25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ht="13.5" customHeight="1" spans="1:26" x14ac:dyDescent="0.25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ht="13.5" customHeight="1" spans="1:26" x14ac:dyDescent="0.25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ht="13.5" customHeight="1" spans="1:26" x14ac:dyDescent="0.25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ht="13.5" customHeight="1" spans="1:26" x14ac:dyDescent="0.25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ht="13.5" customHeight="1" spans="1:26" x14ac:dyDescent="0.2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ht="13.5" customHeight="1" spans="1:26" x14ac:dyDescent="0.25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ht="13.5" customHeight="1" spans="1:26" x14ac:dyDescent="0.25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ht="13.5" customHeight="1" spans="1:26" x14ac:dyDescent="0.25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ht="13.5" customHeight="1" spans="1:26" x14ac:dyDescent="0.25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ht="13.5" customHeight="1" spans="1:26" x14ac:dyDescent="0.25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ht="13.5" customHeight="1" spans="1:26" x14ac:dyDescent="0.25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ht="13.5" customHeight="1" spans="1:26" x14ac:dyDescent="0.25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ht="13.5" customHeight="1" spans="1:26" x14ac:dyDescent="0.25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ht="13.5" customHeight="1" spans="1:26" x14ac:dyDescent="0.25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ht="13.5" customHeight="1" spans="1:26" x14ac:dyDescent="0.2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ht="13.5" customHeight="1" spans="1:26" x14ac:dyDescent="0.25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ht="13.5" customHeight="1" spans="1:26" x14ac:dyDescent="0.25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ht="13.5" customHeight="1" spans="1:26" x14ac:dyDescent="0.25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ht="13.5" customHeight="1" spans="1:26" x14ac:dyDescent="0.25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ht="13.5" customHeight="1" spans="1:26" x14ac:dyDescent="0.25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ht="13.5" customHeight="1" spans="1:26" x14ac:dyDescent="0.25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ht="13.5" customHeight="1" spans="1:26" x14ac:dyDescent="0.25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ht="13.5" customHeight="1" spans="1:26" x14ac:dyDescent="0.25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ht="13.5" customHeight="1" spans="1:26" x14ac:dyDescent="0.25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ht="13.5" customHeight="1" spans="1:26" x14ac:dyDescent="0.2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ht="13.5" customHeight="1" spans="1:26" x14ac:dyDescent="0.25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ht="13.5" customHeight="1" spans="1:26" x14ac:dyDescent="0.25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ht="13.5" customHeight="1" spans="1:26" x14ac:dyDescent="0.25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ht="13.5" customHeight="1" spans="1:26" x14ac:dyDescent="0.25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ht="13.5" customHeight="1" spans="1:26" x14ac:dyDescent="0.25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ht="13.5" customHeight="1" spans="1:26" x14ac:dyDescent="0.25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ht="13.5" customHeight="1" spans="1:26" x14ac:dyDescent="0.25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ht="13.5" customHeight="1" spans="1:26" x14ac:dyDescent="0.25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ht="13.5" customHeight="1" spans="1:26" x14ac:dyDescent="0.25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ht="13.5" customHeight="1" spans="1:26" x14ac:dyDescent="0.2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ht="13.5" customHeight="1" spans="1:26" x14ac:dyDescent="0.25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ht="13.5" customHeight="1" spans="1:26" x14ac:dyDescent="0.25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ht="13.5" customHeight="1" spans="1:26" x14ac:dyDescent="0.25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ht="13.5" customHeight="1" spans="1:26" x14ac:dyDescent="0.25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ht="13.5" customHeight="1" spans="1:26" x14ac:dyDescent="0.25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ht="13.5" customHeight="1" spans="1:26" x14ac:dyDescent="0.25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ht="13.5" customHeight="1" spans="1:26" x14ac:dyDescent="0.25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ht="13.5" customHeight="1" spans="1:26" x14ac:dyDescent="0.25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ht="13.5" customHeight="1" spans="1:26" x14ac:dyDescent="0.25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ht="13.5" customHeight="1" spans="1:26" x14ac:dyDescent="0.2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ht="13.5" customHeight="1" spans="1:26" x14ac:dyDescent="0.25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ht="13.5" customHeight="1" spans="1:26" x14ac:dyDescent="0.25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ht="13.5" customHeight="1" spans="1:26" x14ac:dyDescent="0.25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ht="13.5" customHeight="1" spans="1:26" x14ac:dyDescent="0.25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ht="13.5" customHeight="1" spans="1:26" x14ac:dyDescent="0.25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ht="13.5" customHeight="1" spans="1:26" x14ac:dyDescent="0.25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ht="13.5" customHeight="1" spans="1:26" x14ac:dyDescent="0.25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ht="13.5" customHeight="1" spans="1:26" x14ac:dyDescent="0.25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ht="13.5" customHeight="1" spans="1:26" x14ac:dyDescent="0.25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ht="13.5" customHeight="1" spans="1:26" x14ac:dyDescent="0.2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ht="13.5" customHeight="1" spans="1:26" x14ac:dyDescent="0.25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ht="13.5" customHeight="1" spans="1:26" x14ac:dyDescent="0.25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ht="13.5" customHeight="1" spans="1:26" x14ac:dyDescent="0.25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ht="13.5" customHeight="1" spans="1:26" x14ac:dyDescent="0.25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ht="13.5" customHeight="1" spans="1:26" x14ac:dyDescent="0.25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ht="13.5" customHeight="1" spans="1:26" x14ac:dyDescent="0.25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ht="13.5" customHeight="1" spans="1:26" x14ac:dyDescent="0.25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ht="13.5" customHeight="1" spans="1:26" x14ac:dyDescent="0.25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ht="13.5" customHeight="1" spans="1:26" x14ac:dyDescent="0.25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ht="13.5" customHeight="1" spans="1:26" x14ac:dyDescent="0.2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ht="13.5" customHeight="1" spans="1:26" x14ac:dyDescent="0.25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ht="13.5" customHeight="1" spans="1:26" x14ac:dyDescent="0.25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ht="13.5" customHeight="1" spans="1:26" x14ac:dyDescent="0.25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ht="13.5" customHeight="1" spans="1:26" x14ac:dyDescent="0.25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ht="13.5" customHeight="1" spans="1:26" x14ac:dyDescent="0.25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ht="13.5" customHeight="1" spans="1:26" x14ac:dyDescent="0.25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ht="13.5" customHeight="1" spans="1:26" x14ac:dyDescent="0.25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ht="13.5" customHeight="1" spans="1:26" x14ac:dyDescent="0.25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ht="13.5" customHeight="1" spans="1:26" x14ac:dyDescent="0.25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ht="13.5" customHeight="1" spans="1:26" x14ac:dyDescent="0.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ht="13.5" customHeight="1" spans="1:26" x14ac:dyDescent="0.25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ht="13.5" customHeight="1" spans="1:26" x14ac:dyDescent="0.25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ht="13.5" customHeight="1" spans="1:26" x14ac:dyDescent="0.25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ht="13.5" customHeight="1" spans="1:26" x14ac:dyDescent="0.25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ht="13.5" customHeight="1" spans="1:26" x14ac:dyDescent="0.25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ht="13.5" customHeight="1" spans="1:26" x14ac:dyDescent="0.25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ht="13.5" customHeight="1" spans="1:26" x14ac:dyDescent="0.25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ht="13.5" customHeight="1" spans="1:26" x14ac:dyDescent="0.25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ht="13.5" customHeight="1" spans="1:26" x14ac:dyDescent="0.25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ht="13.5" customHeight="1" spans="1:26" x14ac:dyDescent="0.2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ht="13.5" customHeight="1" spans="1:26" x14ac:dyDescent="0.25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ht="13.5" customHeight="1" spans="1:26" x14ac:dyDescent="0.25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ht="13.5" customHeight="1" spans="1:26" x14ac:dyDescent="0.25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ht="13.5" customHeight="1" spans="1:26" x14ac:dyDescent="0.25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ht="13.5" customHeight="1" spans="1:26" x14ac:dyDescent="0.25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ht="13.5" customHeight="1" spans="1:26" x14ac:dyDescent="0.25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ht="13.5" customHeight="1" spans="1:26" x14ac:dyDescent="0.25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ht="13.5" customHeight="1" spans="1:26" x14ac:dyDescent="0.25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ht="13.5" customHeight="1" spans="1:26" x14ac:dyDescent="0.25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ht="13.5" customHeight="1" spans="1:26" x14ac:dyDescent="0.2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ht="13.5" customHeight="1" spans="1:26" x14ac:dyDescent="0.25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ht="13.5" customHeight="1" spans="1:26" x14ac:dyDescent="0.25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ht="13.5" customHeight="1" spans="1:26" x14ac:dyDescent="0.25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ht="13.5" customHeight="1" spans="1:26" x14ac:dyDescent="0.25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ht="13.5" customHeight="1" spans="1:26" x14ac:dyDescent="0.25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ht="13.5" customHeight="1" spans="1:26" x14ac:dyDescent="0.25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ht="13.5" customHeight="1" spans="1:26" x14ac:dyDescent="0.25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ht="13.5" customHeight="1" spans="1:26" x14ac:dyDescent="0.25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ht="13.5" customHeight="1" spans="1:26" x14ac:dyDescent="0.25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ht="13.5" customHeight="1" spans="1:26" x14ac:dyDescent="0.2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ht="13.5" customHeight="1" spans="1:26" x14ac:dyDescent="0.25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ht="13.5" customHeight="1" spans="1:26" x14ac:dyDescent="0.25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ht="13.5" customHeight="1" spans="1:26" x14ac:dyDescent="0.25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ht="13.5" customHeight="1" spans="1:26" x14ac:dyDescent="0.25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ht="13.5" customHeight="1" spans="1:26" x14ac:dyDescent="0.25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ht="13.5" customHeight="1" spans="1:26" x14ac:dyDescent="0.25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ht="13.5" customHeight="1" spans="1:26" x14ac:dyDescent="0.25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ht="13.5" customHeight="1" spans="1:26" x14ac:dyDescent="0.25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ht="13.5" customHeight="1" spans="1:26" x14ac:dyDescent="0.25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ht="13.5" customHeight="1" spans="1:26" x14ac:dyDescent="0.2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ht="13.5" customHeight="1" spans="1:26" x14ac:dyDescent="0.25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ht="13.5" customHeight="1" spans="1:26" x14ac:dyDescent="0.25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ht="13.5" customHeight="1" spans="1:26" x14ac:dyDescent="0.25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ht="13.5" customHeight="1" spans="1:26" x14ac:dyDescent="0.25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ht="13.5" customHeight="1" spans="1:26" x14ac:dyDescent="0.25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ht="13.5" customHeight="1" spans="1:26" x14ac:dyDescent="0.25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ht="13.5" customHeight="1" spans="1:26" x14ac:dyDescent="0.25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ht="13.5" customHeight="1" spans="1:26" x14ac:dyDescent="0.25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ht="13.5" customHeight="1" spans="1:26" x14ac:dyDescent="0.25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ht="13.5" customHeight="1" spans="1:26" x14ac:dyDescent="0.2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ht="13.5" customHeight="1" spans="1:26" x14ac:dyDescent="0.25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ht="13.5" customHeight="1" spans="1:26" x14ac:dyDescent="0.25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ht="13.5" customHeight="1" spans="1:26" x14ac:dyDescent="0.25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ht="13.5" customHeight="1" spans="1:26" x14ac:dyDescent="0.25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ht="13.5" customHeight="1" spans="1:26" x14ac:dyDescent="0.25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ht="13.5" customHeight="1" spans="1:26" x14ac:dyDescent="0.25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ht="13.5" customHeight="1" spans="1:26" x14ac:dyDescent="0.25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ht="13.5" customHeight="1" spans="1:26" x14ac:dyDescent="0.25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ht="13.5" customHeight="1" spans="1:26" x14ac:dyDescent="0.25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ht="13.5" customHeight="1" spans="1:26" x14ac:dyDescent="0.2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ht="13.5" customHeight="1" spans="1:26" x14ac:dyDescent="0.25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ht="13.5" customHeight="1" spans="1:26" x14ac:dyDescent="0.25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ht="13.5" customHeight="1" spans="1:26" x14ac:dyDescent="0.25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ht="13.5" customHeight="1" spans="1:26" x14ac:dyDescent="0.25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ht="13.5" customHeight="1" spans="1:26" x14ac:dyDescent="0.25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ht="13.5" customHeight="1" spans="1:26" x14ac:dyDescent="0.25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ht="13.5" customHeight="1" spans="1:26" x14ac:dyDescent="0.25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ht="13.5" customHeight="1" spans="1:26" x14ac:dyDescent="0.25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ht="13.5" customHeight="1" spans="1:26" x14ac:dyDescent="0.25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ht="13.5" customHeight="1" spans="1:26" x14ac:dyDescent="0.2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ht="13.5" customHeight="1" spans="1:26" x14ac:dyDescent="0.25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ht="13.5" customHeight="1" spans="1:26" x14ac:dyDescent="0.25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ht="13.5" customHeight="1" spans="1:26" x14ac:dyDescent="0.25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ht="13.5" customHeight="1" spans="1:26" x14ac:dyDescent="0.25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ht="13.5" customHeight="1" spans="1:26" x14ac:dyDescent="0.25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ht="13.5" customHeight="1" spans="1:26" x14ac:dyDescent="0.25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ht="13.5" customHeight="1" spans="1:26" x14ac:dyDescent="0.25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ht="13.5" customHeight="1" spans="1:26" x14ac:dyDescent="0.25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ht="13.5" customHeight="1" spans="1:26" x14ac:dyDescent="0.25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ht="13.5" customHeight="1" spans="1:26" x14ac:dyDescent="0.2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ht="13.5" customHeight="1" spans="1:26" x14ac:dyDescent="0.25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ht="13.5" customHeight="1" spans="1:26" x14ac:dyDescent="0.25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ht="13.5" customHeight="1" spans="1:26" x14ac:dyDescent="0.25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ht="13.5" customHeight="1" spans="1:26" x14ac:dyDescent="0.25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ht="13.5" customHeight="1" spans="1:26" x14ac:dyDescent="0.25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ht="13.5" customHeight="1" spans="1:26" x14ac:dyDescent="0.25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ht="13.5" customHeight="1" spans="1:26" x14ac:dyDescent="0.25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ht="13.5" customHeight="1" spans="1:26" x14ac:dyDescent="0.25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ht="13.5" customHeight="1" spans="1:26" x14ac:dyDescent="0.25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ht="13.5" customHeight="1" spans="1:26" x14ac:dyDescent="0.2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ht="13.5" customHeight="1" spans="1:26" x14ac:dyDescent="0.25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ht="13.5" customHeight="1" spans="1:26" x14ac:dyDescent="0.25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ht="13.5" customHeight="1" spans="1:26" x14ac:dyDescent="0.25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ht="13.5" customHeight="1" spans="1:26" x14ac:dyDescent="0.25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ht="13.5" customHeight="1" spans="1:26" x14ac:dyDescent="0.25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ht="13.5" customHeight="1" spans="1:26" x14ac:dyDescent="0.25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ht="13.5" customHeight="1" spans="1:26" x14ac:dyDescent="0.25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ht="13.5" customHeight="1" spans="1:26" x14ac:dyDescent="0.25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ht="13.5" customHeight="1" spans="1:26" x14ac:dyDescent="0.25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ht="13.5" customHeight="1" spans="1:26" x14ac:dyDescent="0.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ht="13.5" customHeight="1" spans="1:26" x14ac:dyDescent="0.25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ht="13.5" customHeight="1" spans="1:26" x14ac:dyDescent="0.25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ht="13.5" customHeight="1" spans="1:26" x14ac:dyDescent="0.25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ht="13.5" customHeight="1" spans="1:26" x14ac:dyDescent="0.25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ht="13.5" customHeight="1" spans="1:26" x14ac:dyDescent="0.25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ht="13.5" customHeight="1" spans="1:26" x14ac:dyDescent="0.25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ht="13.5" customHeight="1" spans="1:26" x14ac:dyDescent="0.25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ht="13.5" customHeight="1" spans="1:26" x14ac:dyDescent="0.25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ht="13.5" customHeight="1" spans="1:26" x14ac:dyDescent="0.25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ht="13.5" customHeight="1" spans="1:26" x14ac:dyDescent="0.2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ht="13.5" customHeight="1" spans="1:26" x14ac:dyDescent="0.25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ht="13.5" customHeight="1" spans="1:26" x14ac:dyDescent="0.25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ht="13.5" customHeight="1" spans="1:26" x14ac:dyDescent="0.25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ht="13.5" customHeight="1" spans="1:26" x14ac:dyDescent="0.25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ht="13.5" customHeight="1" spans="1:26" x14ac:dyDescent="0.25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ht="13.5" customHeight="1" spans="1:26" x14ac:dyDescent="0.25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ht="13.5" customHeight="1" spans="1:26" x14ac:dyDescent="0.25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ht="13.5" customHeight="1" spans="1:26" x14ac:dyDescent="0.25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ht="13.5" customHeight="1" spans="1:26" x14ac:dyDescent="0.25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ht="13.5" customHeight="1" spans="1:26" x14ac:dyDescent="0.2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ht="13.5" customHeight="1" spans="1:26" x14ac:dyDescent="0.25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ht="13.5" customHeight="1" spans="1:26" x14ac:dyDescent="0.25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ht="13.5" customHeight="1" spans="1:26" x14ac:dyDescent="0.25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ht="13.5" customHeight="1" spans="1:26" x14ac:dyDescent="0.25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ht="13.5" customHeight="1" spans="1:26" x14ac:dyDescent="0.25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ht="13.5" customHeight="1" spans="1:26" x14ac:dyDescent="0.25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ht="13.5" customHeight="1" spans="1:26" x14ac:dyDescent="0.25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ht="13.5" customHeight="1" spans="1:26" x14ac:dyDescent="0.25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ht="13.5" customHeight="1" spans="1:26" x14ac:dyDescent="0.25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ht="13.5" customHeight="1" spans="1:26" x14ac:dyDescent="0.2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ht="13.5" customHeight="1" spans="1:26" x14ac:dyDescent="0.25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ht="13.5" customHeight="1" spans="1:26" x14ac:dyDescent="0.25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ht="13.5" customHeight="1" spans="1:26" x14ac:dyDescent="0.25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ht="13.5" customHeight="1" spans="1:26" x14ac:dyDescent="0.25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ht="13.5" customHeight="1" spans="1:26" x14ac:dyDescent="0.25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ht="13.5" customHeight="1" spans="1:26" x14ac:dyDescent="0.25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ht="13.5" customHeight="1" spans="1:26" x14ac:dyDescent="0.25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ht="13.5" customHeight="1" spans="1:26" x14ac:dyDescent="0.25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ht="13.5" customHeight="1" spans="1:26" x14ac:dyDescent="0.25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ht="13.5" customHeight="1" spans="1:26" x14ac:dyDescent="0.2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ht="13.5" customHeight="1" spans="1:26" x14ac:dyDescent="0.25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ht="13.5" customHeight="1" spans="1:26" x14ac:dyDescent="0.25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ht="13.5" customHeight="1" spans="1:26" x14ac:dyDescent="0.25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ht="13.5" customHeight="1" spans="1:26" x14ac:dyDescent="0.25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ht="13.5" customHeight="1" spans="1:26" x14ac:dyDescent="0.25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ht="13.5" customHeight="1" spans="1:26" x14ac:dyDescent="0.25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ht="13.5" customHeight="1" spans="1:26" x14ac:dyDescent="0.25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ht="13.5" customHeight="1" spans="1:26" x14ac:dyDescent="0.25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ht="13.5" customHeight="1" spans="1:26" x14ac:dyDescent="0.25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ht="13.5" customHeight="1" spans="1:26" x14ac:dyDescent="0.2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ht="13.5" customHeight="1" spans="1:26" x14ac:dyDescent="0.25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ht="13.5" customHeight="1" spans="1:26" x14ac:dyDescent="0.25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ht="13.5" customHeight="1" spans="1:26" x14ac:dyDescent="0.25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ht="13.5" customHeight="1" spans="1:26" x14ac:dyDescent="0.25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ht="13.5" customHeight="1" spans="1:26" x14ac:dyDescent="0.25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ht="13.5" customHeight="1" spans="1:26" x14ac:dyDescent="0.25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ht="13.5" customHeight="1" spans="1:26" x14ac:dyDescent="0.25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ht="13.5" customHeight="1" spans="1:26" x14ac:dyDescent="0.25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ht="13.5" customHeight="1" spans="1:26" x14ac:dyDescent="0.25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ht="13.5" customHeight="1" spans="1:26" x14ac:dyDescent="0.2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ht="13.5" customHeight="1" spans="1:26" x14ac:dyDescent="0.25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ht="13.5" customHeight="1" spans="1:26" x14ac:dyDescent="0.25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ht="13.5" customHeight="1" spans="1:26" x14ac:dyDescent="0.25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ht="13.5" customHeight="1" spans="1:26" x14ac:dyDescent="0.25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ht="13.5" customHeight="1" spans="1:26" x14ac:dyDescent="0.25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ht="13.5" customHeight="1" spans="1:26" x14ac:dyDescent="0.25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ht="13.5" customHeight="1" spans="1:26" x14ac:dyDescent="0.25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ht="13.5" customHeight="1" spans="1:26" x14ac:dyDescent="0.25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ht="13.5" customHeight="1" spans="1:26" x14ac:dyDescent="0.25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ht="13.5" customHeight="1" spans="1:26" x14ac:dyDescent="0.2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ht="13.5" customHeight="1" spans="1:26" x14ac:dyDescent="0.25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ht="13.5" customHeight="1" spans="1:26" x14ac:dyDescent="0.25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ht="13.5" customHeight="1" spans="1:26" x14ac:dyDescent="0.25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ht="13.5" customHeight="1" spans="1:26" x14ac:dyDescent="0.25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ht="13.5" customHeight="1" spans="1:26" x14ac:dyDescent="0.25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ht="13.5" customHeight="1" spans="1:26" x14ac:dyDescent="0.25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ht="13.5" customHeight="1" spans="1:26" x14ac:dyDescent="0.25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ht="13.5" customHeight="1" spans="1:26" x14ac:dyDescent="0.25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ht="13.5" customHeight="1" spans="1:26" x14ac:dyDescent="0.25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ht="13.5" customHeight="1" spans="1:26" x14ac:dyDescent="0.2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ht="13.5" customHeight="1" spans="1:26" x14ac:dyDescent="0.25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ht="13.5" customHeight="1" spans="1:26" x14ac:dyDescent="0.25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ht="13.5" customHeight="1" spans="1:26" x14ac:dyDescent="0.25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ht="13.5" customHeight="1" spans="1:26" x14ac:dyDescent="0.25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ht="13.5" customHeight="1" spans="1:26" x14ac:dyDescent="0.25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ht="13.5" customHeight="1" spans="1:26" x14ac:dyDescent="0.25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ht="13.5" customHeight="1" spans="1:26" x14ac:dyDescent="0.25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ht="13.5" customHeight="1" spans="1:26" x14ac:dyDescent="0.25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ht="13.5" customHeight="1" spans="1:26" x14ac:dyDescent="0.25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ht="13.5" customHeight="1" spans="1:26" x14ac:dyDescent="0.2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ht="13.5" customHeight="1" spans="1:26" x14ac:dyDescent="0.25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ht="13.5" customHeight="1" spans="1:26" x14ac:dyDescent="0.25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ht="13.5" customHeight="1" spans="1:26" x14ac:dyDescent="0.25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ht="13.5" customHeight="1" spans="1:26" x14ac:dyDescent="0.25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ht="13.5" customHeight="1" spans="1:26" x14ac:dyDescent="0.25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ht="13.5" customHeight="1" spans="1:26" x14ac:dyDescent="0.25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ht="13.5" customHeight="1" spans="1:26" x14ac:dyDescent="0.25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ht="13.5" customHeight="1" spans="1:26" x14ac:dyDescent="0.25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ht="13.5" customHeight="1" spans="1:26" x14ac:dyDescent="0.25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ht="13.5" customHeight="1" spans="1:26" x14ac:dyDescent="0.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ht="13.5" customHeight="1" spans="1:26" x14ac:dyDescent="0.25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ht="13.5" customHeight="1" spans="1:26" x14ac:dyDescent="0.25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ht="13.5" customHeight="1" spans="1:26" x14ac:dyDescent="0.25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ht="13.5" customHeight="1" spans="1:26" x14ac:dyDescent="0.25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ht="13.5" customHeight="1" spans="1:26" x14ac:dyDescent="0.25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ht="13.5" customHeight="1" spans="1:26" x14ac:dyDescent="0.25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ht="13.5" customHeight="1" spans="1:26" x14ac:dyDescent="0.25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ht="13.5" customHeight="1" spans="1:26" x14ac:dyDescent="0.25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ht="13.5" customHeight="1" spans="1:26" x14ac:dyDescent="0.25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ht="13.5" customHeight="1" spans="1:26" x14ac:dyDescent="0.2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ht="13.5" customHeight="1" spans="1:26" x14ac:dyDescent="0.25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ht="13.5" customHeight="1" spans="1:26" x14ac:dyDescent="0.25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ht="13.5" customHeight="1" spans="1:26" x14ac:dyDescent="0.25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ht="13.5" customHeight="1" spans="1:26" x14ac:dyDescent="0.25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ht="13.5" customHeight="1" spans="1:26" x14ac:dyDescent="0.25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ht="13.5" customHeight="1" spans="1:26" x14ac:dyDescent="0.25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ht="13.5" customHeight="1" spans="1:26" x14ac:dyDescent="0.25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ht="13.5" customHeight="1" spans="1:26" x14ac:dyDescent="0.25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ht="13.5" customHeight="1" spans="1:26" x14ac:dyDescent="0.25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ht="13.5" customHeight="1" spans="1:26" x14ac:dyDescent="0.2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ht="13.5" customHeight="1" spans="1:26" x14ac:dyDescent="0.25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ht="13.5" customHeight="1" spans="1:26" x14ac:dyDescent="0.25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ht="13.5" customHeight="1" spans="1:26" x14ac:dyDescent="0.25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ht="13.5" customHeight="1" spans="1:26" x14ac:dyDescent="0.25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ht="13.5" customHeight="1" spans="1:26" x14ac:dyDescent="0.25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ht="13.5" customHeight="1" spans="1:26" x14ac:dyDescent="0.25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ht="13.5" customHeight="1" spans="1:26" x14ac:dyDescent="0.25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ht="13.5" customHeight="1" spans="1:26" x14ac:dyDescent="0.25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ht="13.5" customHeight="1" spans="1:26" x14ac:dyDescent="0.25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ht="13.5" customHeight="1" spans="1:26" x14ac:dyDescent="0.2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ht="13.5" customHeight="1" spans="1:26" x14ac:dyDescent="0.25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ht="13.5" customHeight="1" spans="1:26" x14ac:dyDescent="0.25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ht="13.5" customHeight="1" spans="1:26" x14ac:dyDescent="0.25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ht="13.5" customHeight="1" spans="1:26" x14ac:dyDescent="0.25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ht="13.5" customHeight="1" spans="1:26" x14ac:dyDescent="0.25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ht="13.5" customHeight="1" spans="1:26" x14ac:dyDescent="0.25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ht="13.5" customHeight="1" spans="1:26" x14ac:dyDescent="0.25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ht="13.5" customHeight="1" spans="1:26" x14ac:dyDescent="0.25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ht="13.5" customHeight="1" spans="1:26" x14ac:dyDescent="0.25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ht="13.5" customHeight="1" spans="1:26" x14ac:dyDescent="0.2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ht="13.5" customHeight="1" spans="1:26" x14ac:dyDescent="0.25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ht="13.5" customHeight="1" spans="1:26" x14ac:dyDescent="0.25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ht="13.5" customHeight="1" spans="1:26" x14ac:dyDescent="0.25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ht="13.5" customHeight="1" spans="1:26" x14ac:dyDescent="0.25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ht="13.5" customHeight="1" spans="1:26" x14ac:dyDescent="0.25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ht="13.5" customHeight="1" spans="1:26" x14ac:dyDescent="0.25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ht="13.5" customHeight="1" spans="1:26" x14ac:dyDescent="0.25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ht="13.5" customHeight="1" spans="1:26" x14ac:dyDescent="0.25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ht="13.5" customHeight="1" spans="1:26" x14ac:dyDescent="0.25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ht="13.5" customHeight="1" spans="1:26" x14ac:dyDescent="0.2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ht="13.5" customHeight="1" spans="1:26" x14ac:dyDescent="0.25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ht="13.5" customHeight="1" spans="1:26" x14ac:dyDescent="0.25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ht="13.5" customHeight="1" spans="1:26" x14ac:dyDescent="0.25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ht="13.5" customHeight="1" spans="1:26" x14ac:dyDescent="0.25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ht="13.5" customHeight="1" spans="1:26" x14ac:dyDescent="0.25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ht="13.5" customHeight="1" spans="1:26" x14ac:dyDescent="0.25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ht="13.5" customHeight="1" spans="1:26" x14ac:dyDescent="0.25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ht="13.5" customHeight="1" spans="1:26" x14ac:dyDescent="0.25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ht="13.5" customHeight="1" spans="1:26" x14ac:dyDescent="0.25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ht="13.5" customHeight="1" spans="1:26" x14ac:dyDescent="0.2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ht="13.5" customHeight="1" spans="1:26" x14ac:dyDescent="0.25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ht="13.5" customHeight="1" spans="1:26" x14ac:dyDescent="0.25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ht="13.5" customHeight="1" spans="1:26" x14ac:dyDescent="0.25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ht="13.5" customHeight="1" spans="1:26" x14ac:dyDescent="0.25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ht="13.5" customHeight="1" spans="1:26" x14ac:dyDescent="0.25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ht="13.5" customHeight="1" spans="1:26" x14ac:dyDescent="0.25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ht="13.5" customHeight="1" spans="1:26" x14ac:dyDescent="0.25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ht="13.5" customHeight="1" spans="1:26" x14ac:dyDescent="0.25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ht="13.5" customHeight="1" spans="1:26" x14ac:dyDescent="0.25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ht="13.5" customHeight="1" spans="1:26" x14ac:dyDescent="0.2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ht="13.5" customHeight="1" spans="1:26" x14ac:dyDescent="0.25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ht="13.5" customHeight="1" spans="1:26" x14ac:dyDescent="0.25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ht="13.5" customHeight="1" spans="1:26" x14ac:dyDescent="0.25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ht="13.5" customHeight="1" spans="1:26" x14ac:dyDescent="0.25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ht="13.5" customHeight="1" spans="1:26" x14ac:dyDescent="0.25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ht="13.5" customHeight="1" spans="1:26" x14ac:dyDescent="0.25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ht="13.5" customHeight="1" spans="1:26" x14ac:dyDescent="0.25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ht="13.5" customHeight="1" spans="1:26" x14ac:dyDescent="0.25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ht="13.5" customHeight="1" spans="1:26" x14ac:dyDescent="0.25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ht="13.5" customHeight="1" spans="1:26" x14ac:dyDescent="0.2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ht="13.5" customHeight="1" spans="1:26" x14ac:dyDescent="0.25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ht="13.5" customHeight="1" spans="1:26" x14ac:dyDescent="0.25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ht="13.5" customHeight="1" spans="1:26" x14ac:dyDescent="0.25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ht="13.5" customHeight="1" spans="1:26" x14ac:dyDescent="0.25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ht="13.5" customHeight="1" spans="1:26" x14ac:dyDescent="0.25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ht="13.5" customHeight="1" spans="1:26" x14ac:dyDescent="0.25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ht="13.5" customHeight="1" spans="1:26" x14ac:dyDescent="0.25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ht="13.5" customHeight="1" spans="1:26" x14ac:dyDescent="0.25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ht="13.5" customHeight="1" spans="1:26" x14ac:dyDescent="0.25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ht="13.5" customHeight="1" spans="1:26" x14ac:dyDescent="0.2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ht="13.5" customHeight="1" spans="1:26" x14ac:dyDescent="0.25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ht="13.5" customHeight="1" spans="1:26" x14ac:dyDescent="0.25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ht="13.5" customHeight="1" spans="1:26" x14ac:dyDescent="0.25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ht="13.5" customHeight="1" spans="1:26" x14ac:dyDescent="0.25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ht="13.5" customHeight="1" spans="1:26" x14ac:dyDescent="0.25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ht="13.5" customHeight="1" spans="1:26" x14ac:dyDescent="0.25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ht="13.5" customHeight="1" spans="1:26" x14ac:dyDescent="0.25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ht="13.5" customHeight="1" spans="1:26" x14ac:dyDescent="0.25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ht="13.5" customHeight="1" spans="1:26" x14ac:dyDescent="0.25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ht="13.5" customHeight="1" spans="1:26" x14ac:dyDescent="0.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ht="13.5" customHeight="1" spans="1:26" x14ac:dyDescent="0.25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ht="13.5" customHeight="1" spans="1:26" x14ac:dyDescent="0.25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ht="13.5" customHeight="1" spans="1:26" x14ac:dyDescent="0.25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ht="13.5" customHeight="1" spans="1:26" x14ac:dyDescent="0.25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ht="13.5" customHeight="1" spans="1:26" x14ac:dyDescent="0.25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ht="13.5" customHeight="1" spans="1:26" x14ac:dyDescent="0.25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ht="13.5" customHeight="1" spans="1:26" x14ac:dyDescent="0.25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ht="13.5" customHeight="1" spans="1:26" x14ac:dyDescent="0.25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ht="13.5" customHeight="1" spans="1:26" x14ac:dyDescent="0.25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ht="13.5" customHeight="1" spans="1:26" x14ac:dyDescent="0.2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ht="13.5" customHeight="1" spans="1:26" x14ac:dyDescent="0.25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ht="13.5" customHeight="1" spans="1:26" x14ac:dyDescent="0.25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ht="13.5" customHeight="1" spans="1:26" x14ac:dyDescent="0.25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ht="13.5" customHeight="1" spans="1:26" x14ac:dyDescent="0.25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ht="13.5" customHeight="1" spans="1:26" x14ac:dyDescent="0.25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ht="13.5" customHeight="1" spans="1:26" x14ac:dyDescent="0.25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ht="13.5" customHeight="1" spans="1:26" x14ac:dyDescent="0.25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ht="13.5" customHeight="1" spans="1:26" x14ac:dyDescent="0.25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ht="13.5" customHeight="1" spans="1:26" x14ac:dyDescent="0.25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ht="13.5" customHeight="1" spans="1:26" x14ac:dyDescent="0.2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ht="13.5" customHeight="1" spans="1:26" x14ac:dyDescent="0.25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ht="13.5" customHeight="1" spans="1:26" x14ac:dyDescent="0.25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ht="13.5" customHeight="1" spans="1:26" x14ac:dyDescent="0.25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ht="13.5" customHeight="1" spans="1:26" x14ac:dyDescent="0.25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ht="13.5" customHeight="1" spans="1:26" x14ac:dyDescent="0.25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ht="13.5" customHeight="1" spans="1:26" x14ac:dyDescent="0.25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ht="13.5" customHeight="1" spans="1:26" x14ac:dyDescent="0.25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ht="13.5" customHeight="1" spans="1:26" x14ac:dyDescent="0.25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ht="13.5" customHeight="1" spans="1:26" x14ac:dyDescent="0.25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ht="13.5" customHeight="1" spans="1:26" x14ac:dyDescent="0.2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ht="13.5" customHeight="1" spans="1:26" x14ac:dyDescent="0.25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ht="13.5" customHeight="1" spans="1:26" x14ac:dyDescent="0.25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ht="13.5" customHeight="1" spans="1:26" x14ac:dyDescent="0.25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ht="13.5" customHeight="1" spans="1:26" x14ac:dyDescent="0.25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ht="13.5" customHeight="1" spans="1:26" x14ac:dyDescent="0.25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ht="13.5" customHeight="1" spans="1:26" x14ac:dyDescent="0.25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ht="13.5" customHeight="1" spans="1:26" x14ac:dyDescent="0.25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ht="13.5" customHeight="1" spans="1:26" x14ac:dyDescent="0.25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ht="13.5" customHeight="1" spans="1:26" x14ac:dyDescent="0.25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ht="13.5" customHeight="1" spans="1:26" x14ac:dyDescent="0.2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ht="13.5" customHeight="1" spans="1:26" x14ac:dyDescent="0.25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ht="13.5" customHeight="1" spans="1:26" x14ac:dyDescent="0.25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ht="13.5" customHeight="1" spans="1:26" x14ac:dyDescent="0.25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ht="13.5" customHeight="1" spans="1:26" x14ac:dyDescent="0.25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ht="13.5" customHeight="1" spans="1:26" x14ac:dyDescent="0.25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ht="13.5" customHeight="1" spans="1:26" x14ac:dyDescent="0.25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ht="13.5" customHeight="1" spans="1:26" x14ac:dyDescent="0.25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ht="13.5" customHeight="1" spans="1:26" x14ac:dyDescent="0.25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ht="13.5" customHeight="1" spans="1:26" x14ac:dyDescent="0.25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ht="13.5" customHeight="1" spans="1:26" x14ac:dyDescent="0.2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ht="13.5" customHeight="1" spans="1:26" x14ac:dyDescent="0.25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ht="13.5" customHeight="1" spans="1:26" x14ac:dyDescent="0.25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ht="13.5" customHeight="1" spans="1:26" x14ac:dyDescent="0.25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ht="13.5" customHeight="1" spans="1:26" x14ac:dyDescent="0.25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ht="13.5" customHeight="1" spans="1:26" x14ac:dyDescent="0.25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ht="13.5" customHeight="1" spans="1:26" x14ac:dyDescent="0.25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ht="13.5" customHeight="1" spans="1:26" x14ac:dyDescent="0.25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ht="13.5" customHeight="1" spans="1:26" x14ac:dyDescent="0.25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ht="13.5" customHeight="1" spans="1:26" x14ac:dyDescent="0.25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ht="13.5" customHeight="1" spans="1:26" x14ac:dyDescent="0.2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ht="13.5" customHeight="1" spans="1:26" x14ac:dyDescent="0.25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ht="13.5" customHeight="1" spans="1:26" x14ac:dyDescent="0.25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ht="13.5" customHeight="1" spans="1:26" x14ac:dyDescent="0.25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ht="13.5" customHeight="1" spans="1:26" x14ac:dyDescent="0.25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ht="13.5" customHeight="1" spans="1:26" x14ac:dyDescent="0.25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ht="13.5" customHeight="1" spans="1:26" x14ac:dyDescent="0.25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ht="13.5" customHeight="1" spans="1:26" x14ac:dyDescent="0.25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ht="13.5" customHeight="1" spans="1:26" x14ac:dyDescent="0.25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ht="13.5" customHeight="1" spans="1:26" x14ac:dyDescent="0.25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ht="13.5" customHeight="1" spans="1:26" x14ac:dyDescent="0.2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ht="13.5" customHeight="1" spans="1:26" x14ac:dyDescent="0.25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ht="13.5" customHeight="1" spans="1:26" x14ac:dyDescent="0.25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ht="13.5" customHeight="1" spans="1:26" x14ac:dyDescent="0.25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ht="13.5" customHeight="1" spans="1:26" x14ac:dyDescent="0.25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ht="13.5" customHeight="1" spans="1:26" x14ac:dyDescent="0.25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ht="13.5" customHeight="1" spans="1:26" x14ac:dyDescent="0.25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ht="13.5" customHeight="1" spans="1:26" x14ac:dyDescent="0.25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ht="13.5" customHeight="1" spans="1:26" x14ac:dyDescent="0.25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ht="13.5" customHeight="1" spans="1:26" x14ac:dyDescent="0.25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ht="13.5" customHeight="1" spans="1:26" x14ac:dyDescent="0.2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ht="13.5" customHeight="1" spans="1:26" x14ac:dyDescent="0.25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ht="13.5" customHeight="1" spans="1:26" x14ac:dyDescent="0.25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ht="13.5" customHeight="1" spans="1:26" x14ac:dyDescent="0.25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ht="13.5" customHeight="1" spans="1:26" x14ac:dyDescent="0.25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ht="13.5" customHeight="1" spans="1:26" x14ac:dyDescent="0.25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ht="13.5" customHeight="1" spans="1:26" x14ac:dyDescent="0.25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ht="13.5" customHeight="1" spans="1:26" x14ac:dyDescent="0.25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ht="13.5" customHeight="1" spans="1:26" x14ac:dyDescent="0.25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ht="13.5" customHeight="1" spans="1:26" x14ac:dyDescent="0.25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ht="13.5" customHeight="1" spans="1:26" x14ac:dyDescent="0.2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ht="13.5" customHeight="1" spans="1:26" x14ac:dyDescent="0.25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ht="13.5" customHeight="1" spans="1:26" x14ac:dyDescent="0.25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ht="13.5" customHeight="1" spans="1:26" x14ac:dyDescent="0.25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ht="13.5" customHeight="1" spans="1:26" x14ac:dyDescent="0.25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ht="13.5" customHeight="1" spans="1:26" x14ac:dyDescent="0.25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ht="13.5" customHeight="1" spans="1:26" x14ac:dyDescent="0.25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ht="13.5" customHeight="1" spans="1:26" x14ac:dyDescent="0.25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ht="13.5" customHeight="1" spans="1:26" x14ac:dyDescent="0.25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ht="13.5" customHeight="1" spans="1:26" x14ac:dyDescent="0.25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ht="13.5" customHeight="1" spans="1:26" x14ac:dyDescent="0.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ht="13.5" customHeight="1" spans="1:26" x14ac:dyDescent="0.25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ht="13.5" customHeight="1" spans="1:26" x14ac:dyDescent="0.25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ht="13.5" customHeight="1" spans="1:26" x14ac:dyDescent="0.25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ht="13.5" customHeight="1" spans="1:26" x14ac:dyDescent="0.25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ht="13.5" customHeight="1" spans="1:26" x14ac:dyDescent="0.25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ht="13.5" customHeight="1" spans="1:26" x14ac:dyDescent="0.25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ht="13.5" customHeight="1" spans="1:26" x14ac:dyDescent="0.25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ht="13.5" customHeight="1" spans="1:26" x14ac:dyDescent="0.25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ht="13.5" customHeight="1" spans="1:26" x14ac:dyDescent="0.25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ht="13.5" customHeight="1" spans="1:26" x14ac:dyDescent="0.2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ht="13.5" customHeight="1" spans="1:26" x14ac:dyDescent="0.25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ht="13.5" customHeight="1" spans="1:26" x14ac:dyDescent="0.25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ht="13.5" customHeight="1" spans="1:26" x14ac:dyDescent="0.25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ht="13.5" customHeight="1" spans="1:26" x14ac:dyDescent="0.25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ht="13.5" customHeight="1" spans="1:26" x14ac:dyDescent="0.25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ht="13.5" customHeight="1" spans="1:26" x14ac:dyDescent="0.25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ht="13.5" customHeight="1" spans="1:26" x14ac:dyDescent="0.25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ht="13.5" customHeight="1" spans="1:26" x14ac:dyDescent="0.25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ht="13.5" customHeight="1" spans="1:26" x14ac:dyDescent="0.25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ht="13.5" customHeight="1" spans="1:26" x14ac:dyDescent="0.2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ht="13.5" customHeight="1" spans="1:26" x14ac:dyDescent="0.25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ht="13.5" customHeight="1" spans="1:26" x14ac:dyDescent="0.25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ht="13.5" customHeight="1" spans="1:26" x14ac:dyDescent="0.25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ht="13.5" customHeight="1" spans="1:26" x14ac:dyDescent="0.25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ht="13.5" customHeight="1" spans="1:26" x14ac:dyDescent="0.25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ht="13.5" customHeight="1" spans="1:26" x14ac:dyDescent="0.25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ht="13.5" customHeight="1" spans="1:26" x14ac:dyDescent="0.25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ht="13.5" customHeight="1" spans="1:26" x14ac:dyDescent="0.25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ht="13.5" customHeight="1" spans="1:26" x14ac:dyDescent="0.25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ht="13.5" customHeight="1" spans="1:26" x14ac:dyDescent="0.2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ht="13.5" customHeight="1" spans="1:26" x14ac:dyDescent="0.25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ht="13.5" customHeight="1" spans="1:26" x14ac:dyDescent="0.25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ht="13.5" customHeight="1" spans="1:26" x14ac:dyDescent="0.25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ht="13.5" customHeight="1" spans="1:26" x14ac:dyDescent="0.25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ht="13.5" customHeight="1" spans="1:26" x14ac:dyDescent="0.25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ht="13.5" customHeight="1" spans="1:26" x14ac:dyDescent="0.25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ht="13.5" customHeight="1" spans="1:26" x14ac:dyDescent="0.25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ht="13.5" customHeight="1" spans="1:26" x14ac:dyDescent="0.25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ht="13.5" customHeight="1" spans="1:26" x14ac:dyDescent="0.25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ht="13.5" customHeight="1" spans="1:26" x14ac:dyDescent="0.2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ht="13.5" customHeight="1" spans="1:26" x14ac:dyDescent="0.25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ht="13.5" customHeight="1" spans="1:26" x14ac:dyDescent="0.25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ht="13.5" customHeight="1" spans="1:26" x14ac:dyDescent="0.25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ht="13.5" customHeight="1" spans="1:26" x14ac:dyDescent="0.25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ht="13.5" customHeight="1" spans="1:26" x14ac:dyDescent="0.25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ht="13.5" customHeight="1" spans="1:26" x14ac:dyDescent="0.25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ht="13.5" customHeight="1" spans="1:26" x14ac:dyDescent="0.25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ht="13.5" customHeight="1" spans="1:26" x14ac:dyDescent="0.25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ht="13.5" customHeight="1" spans="1:26" x14ac:dyDescent="0.25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ht="13.5" customHeight="1" spans="1:26" x14ac:dyDescent="0.2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ht="13.5" customHeight="1" spans="1:26" x14ac:dyDescent="0.25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ht="13.5" customHeight="1" spans="1:26" x14ac:dyDescent="0.25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ht="13.5" customHeight="1" spans="1:26" x14ac:dyDescent="0.25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ht="13.5" customHeight="1" spans="1:26" x14ac:dyDescent="0.25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ht="13.5" customHeight="1" spans="1:26" x14ac:dyDescent="0.25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ht="13.5" customHeight="1" spans="1:26" x14ac:dyDescent="0.25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ht="13.5" customHeight="1" spans="1:26" x14ac:dyDescent="0.25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ht="13.5" customHeight="1" spans="1:26" x14ac:dyDescent="0.25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ht="13.5" customHeight="1" spans="1:26" x14ac:dyDescent="0.25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ht="13.5" customHeight="1" spans="1:26" x14ac:dyDescent="0.2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ht="13.5" customHeight="1" spans="1:26" x14ac:dyDescent="0.25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ht="13.5" customHeight="1" spans="1:26" x14ac:dyDescent="0.25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ht="13.5" customHeight="1" spans="1:26" x14ac:dyDescent="0.25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ht="13.5" customHeight="1" spans="1:26" x14ac:dyDescent="0.25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ht="13.5" customHeight="1" spans="1:26" x14ac:dyDescent="0.25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ht="13.5" customHeight="1" spans="1:26" x14ac:dyDescent="0.25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ht="13.5" customHeight="1" spans="1:26" x14ac:dyDescent="0.25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ht="13.5" customHeight="1" spans="1:26" x14ac:dyDescent="0.25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ht="13.5" customHeight="1" spans="1:26" x14ac:dyDescent="0.25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ht="13.5" customHeight="1" spans="1:26" x14ac:dyDescent="0.2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ht="13.5" customHeight="1" spans="1:26" x14ac:dyDescent="0.25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ht="13.5" customHeight="1" spans="1:26" x14ac:dyDescent="0.25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ht="13.5" customHeight="1" spans="1:26" x14ac:dyDescent="0.25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ht="13.5" customHeight="1" spans="1:26" x14ac:dyDescent="0.25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ht="13.5" customHeight="1" spans="1:26" x14ac:dyDescent="0.25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ht="13.5" customHeight="1" spans="1:26" x14ac:dyDescent="0.25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ht="13.5" customHeight="1" spans="1:26" x14ac:dyDescent="0.25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ht="13.5" customHeight="1" spans="1:26" x14ac:dyDescent="0.25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ht="13.5" customHeight="1" spans="1:26" x14ac:dyDescent="0.25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ht="13.5" customHeight="1" spans="1:26" x14ac:dyDescent="0.2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ht="13.5" customHeight="1" spans="1:26" x14ac:dyDescent="0.25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ht="13.5" customHeight="1" spans="1:26" x14ac:dyDescent="0.25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ht="13.5" customHeight="1" spans="1:26" x14ac:dyDescent="0.25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ht="13.5" customHeight="1" spans="1:26" x14ac:dyDescent="0.25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ht="13.5" customHeight="1" spans="1:26" x14ac:dyDescent="0.25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ht="13.5" customHeight="1" spans="1:26" x14ac:dyDescent="0.25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ht="13.5" customHeight="1" spans="1:26" x14ac:dyDescent="0.25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ht="13.5" customHeight="1" spans="1:26" x14ac:dyDescent="0.25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ht="13.5" customHeight="1" spans="1:26" x14ac:dyDescent="0.25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ht="13.5" customHeight="1" spans="1:26" x14ac:dyDescent="0.2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ht="13.5" customHeight="1" spans="1:26" x14ac:dyDescent="0.25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ht="13.5" customHeight="1" spans="1:26" x14ac:dyDescent="0.25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ht="13.5" customHeight="1" spans="1:26" x14ac:dyDescent="0.25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ht="13.5" customHeight="1" spans="1:26" x14ac:dyDescent="0.25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ht="13.5" customHeight="1" spans="1:26" x14ac:dyDescent="0.25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ht="13.5" customHeight="1" spans="1:26" x14ac:dyDescent="0.25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ht="13.5" customHeight="1" spans="1:26" x14ac:dyDescent="0.25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ht="13.5" customHeight="1" spans="1:26" x14ac:dyDescent="0.25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ht="13.5" customHeight="1" spans="1:26" x14ac:dyDescent="0.25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ht="13.5" customHeight="1" spans="1:26" x14ac:dyDescent="0.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ht="13.5" customHeight="1" spans="1:26" x14ac:dyDescent="0.25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ht="13.5" customHeight="1" spans="1:26" x14ac:dyDescent="0.25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ht="13.5" customHeight="1" spans="1:26" x14ac:dyDescent="0.25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ht="13.5" customHeight="1" spans="1:26" x14ac:dyDescent="0.25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ht="13.5" customHeight="1" spans="1:26" x14ac:dyDescent="0.25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ht="13.5" customHeight="1" spans="1:26" x14ac:dyDescent="0.25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ht="13.5" customHeight="1" spans="1:26" x14ac:dyDescent="0.25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ht="13.5" customHeight="1" spans="1:26" x14ac:dyDescent="0.25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ht="13.5" customHeight="1" spans="1:26" x14ac:dyDescent="0.25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ht="13.5" customHeight="1" spans="1:26" x14ac:dyDescent="0.2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ht="13.5" customHeight="1" spans="1:26" x14ac:dyDescent="0.25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ht="13.5" customHeight="1" spans="1:26" x14ac:dyDescent="0.25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ht="13.5" customHeight="1" spans="1:26" x14ac:dyDescent="0.25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ht="13.5" customHeight="1" spans="1:26" x14ac:dyDescent="0.25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ht="13.5" customHeight="1" spans="1:26" x14ac:dyDescent="0.25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ht="13.5" customHeight="1" spans="1:26" x14ac:dyDescent="0.25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ht="13.5" customHeight="1" spans="1:26" x14ac:dyDescent="0.25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ht="13.5" customHeight="1" spans="1:26" x14ac:dyDescent="0.25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ht="13.5" customHeight="1" spans="1:26" x14ac:dyDescent="0.25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ht="13.5" customHeight="1" spans="1:26" x14ac:dyDescent="0.2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ht="13.5" customHeight="1" spans="1:26" x14ac:dyDescent="0.25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ht="13.5" customHeight="1" spans="1:26" x14ac:dyDescent="0.25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ht="13.5" customHeight="1" spans="1:26" x14ac:dyDescent="0.25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ht="13.5" customHeight="1" spans="1:26" x14ac:dyDescent="0.25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ht="13.5" customHeight="1" spans="1:26" x14ac:dyDescent="0.25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ht="13.5" customHeight="1" spans="1:26" x14ac:dyDescent="0.25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ht="13.5" customHeight="1" spans="1:26" x14ac:dyDescent="0.25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ht="13.5" customHeight="1" spans="1:26" x14ac:dyDescent="0.25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ht="13.5" customHeight="1" spans="1:26" x14ac:dyDescent="0.25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ht="13.5" customHeight="1" spans="1:26" x14ac:dyDescent="0.2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ht="13.5" customHeight="1" spans="1:26" x14ac:dyDescent="0.25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ht="13.5" customHeight="1" spans="1:26" x14ac:dyDescent="0.25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ht="13.5" customHeight="1" spans="1:26" x14ac:dyDescent="0.25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ht="13.5" customHeight="1" spans="1:26" x14ac:dyDescent="0.25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ht="13.5" customHeight="1" spans="1:26" x14ac:dyDescent="0.25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ht="13.5" customHeight="1" spans="1:26" x14ac:dyDescent="0.25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ht="13.5" customHeight="1" spans="1:26" x14ac:dyDescent="0.25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ht="13.5" customHeight="1" spans="1:26" x14ac:dyDescent="0.25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ht="13.5" customHeight="1" spans="1:26" x14ac:dyDescent="0.25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ht="13.5" customHeight="1" spans="1:26" x14ac:dyDescent="0.2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ht="13.5" customHeight="1" spans="1:26" x14ac:dyDescent="0.25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ht="13.5" customHeight="1" spans="1:26" x14ac:dyDescent="0.25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ht="13.5" customHeight="1" spans="1:26" x14ac:dyDescent="0.25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ht="13.5" customHeight="1" spans="1:26" x14ac:dyDescent="0.25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ht="13.5" customHeight="1" spans="1:26" x14ac:dyDescent="0.25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ht="13.5" customHeight="1" spans="1:26" x14ac:dyDescent="0.25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ht="13.5" customHeight="1" spans="1:26" x14ac:dyDescent="0.25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ht="13.5" customHeight="1" spans="1:26" x14ac:dyDescent="0.25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ht="13.5" customHeight="1" spans="1:26" x14ac:dyDescent="0.25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ht="13.5" customHeight="1" spans="1:26" x14ac:dyDescent="0.2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ht="13.5" customHeight="1" spans="1:26" x14ac:dyDescent="0.25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ht="13.5" customHeight="1" spans="1:26" x14ac:dyDescent="0.25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ht="13.5" customHeight="1" spans="1:26" x14ac:dyDescent="0.25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ht="13.5" customHeight="1" spans="1:26" x14ac:dyDescent="0.25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ht="13.5" customHeight="1" spans="1:26" x14ac:dyDescent="0.25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ht="13.5" customHeight="1" spans="1:26" x14ac:dyDescent="0.25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ht="13.5" customHeight="1" spans="1:26" x14ac:dyDescent="0.25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ht="13.5" customHeight="1" spans="1:26" x14ac:dyDescent="0.25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ht="13.5" customHeight="1" spans="1:26" x14ac:dyDescent="0.25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ht="13.5" customHeight="1" spans="1:26" x14ac:dyDescent="0.2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ht="13.5" customHeight="1" spans="1:26" x14ac:dyDescent="0.25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ht="13.5" customHeight="1" spans="1:26" x14ac:dyDescent="0.25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ht="13.5" customHeight="1" spans="1:26" x14ac:dyDescent="0.25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ht="13.5" customHeight="1" spans="1:26" x14ac:dyDescent="0.25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ht="13.5" customHeight="1" spans="1:26" x14ac:dyDescent="0.25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ht="13.5" customHeight="1" spans="1:26" x14ac:dyDescent="0.25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ht="13.5" customHeight="1" spans="1:26" x14ac:dyDescent="0.25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ht="13.5" customHeight="1" spans="1:26" x14ac:dyDescent="0.25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ht="13.5" customHeight="1" spans="1:26" x14ac:dyDescent="0.25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ht="13.5" customHeight="1" spans="1:26" x14ac:dyDescent="0.2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ht="13.5" customHeight="1" spans="1:26" x14ac:dyDescent="0.25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ht="13.5" customHeight="1" spans="1:26" x14ac:dyDescent="0.25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ht="13.5" customHeight="1" spans="1:26" x14ac:dyDescent="0.25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ht="13.5" customHeight="1" spans="1:26" x14ac:dyDescent="0.25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ht="13.5" customHeight="1" spans="1:26" x14ac:dyDescent="0.25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mergeCells count="24">
    <mergeCell ref="A1:T1"/>
    <mergeCell ref="C2:D2"/>
    <mergeCell ref="G2:K2"/>
    <mergeCell ref="M2:S2"/>
    <mergeCell ref="C3:D3"/>
    <mergeCell ref="G3:H3"/>
    <mergeCell ref="J3:N3"/>
    <mergeCell ref="A4:E11"/>
    <mergeCell ref="F4:J11"/>
    <mergeCell ref="K4:O11"/>
    <mergeCell ref="P4:T11"/>
    <mergeCell ref="A12:E19"/>
    <mergeCell ref="F12:J19"/>
    <mergeCell ref="K12:O19"/>
    <mergeCell ref="P12:T19"/>
    <mergeCell ref="A20:E27"/>
    <mergeCell ref="F20:J27"/>
    <mergeCell ref="K20:O27"/>
    <mergeCell ref="P20:T27"/>
    <mergeCell ref="A28:E35"/>
    <mergeCell ref="F28:J35"/>
    <mergeCell ref="K28:O35"/>
    <mergeCell ref="P28:T35"/>
    <mergeCell ref="A36:T36"/>
  </mergeCells>
  <pageMargins left="0" right="0" top="0.25" bottom="0" header="0" footer="0"/>
  <pageSetup paperSize="9"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100" zoomScaleNormal="100"/>
  </sheetViews>
  <sheetFormatPr defaultRowHeight="15" outlineLevelRow="0" outlineLevelCol="0" x14ac:dyDescent="0" defaultColWidth="12.63"/>
  <cols>
    <col min="1" max="26" width="8.63" customWidth="1"/>
  </cols>
  <sheetData>
    <row r="1" ht="12" customHeight="1" x14ac:dyDescent="0.25"/>
    <row r="2" ht="12" customHeight="1" x14ac:dyDescent="0.25"/>
    <row r="3" ht="12" customHeight="1" x14ac:dyDescent="0.25"/>
    <row r="4" ht="12" customHeight="1" x14ac:dyDescent="0.25"/>
    <row r="5" ht="12" customHeight="1" x14ac:dyDescent="0.25"/>
    <row r="6" ht="12" customHeight="1" x14ac:dyDescent="0.25"/>
    <row r="7" ht="12" customHeight="1" x14ac:dyDescent="0.25"/>
    <row r="8" ht="12" customHeight="1" x14ac:dyDescent="0.25"/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Report (2)</vt:lpstr>
      <vt:lpstr>Measurement sheet</vt:lpstr>
      <vt:lpstr>Details of style</vt:lpstr>
      <vt:lpstr>Picture Major Defects </vt:lpstr>
      <vt:lpstr>Picture Minor Defects</vt:lpstr>
      <vt:lpstr>picture accept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ElenaMO</dc:creator>
  <cp:lastModifiedBy>Unknown</cp:lastModifiedBy>
  <dcterms:created xsi:type="dcterms:W3CDTF">2007-12-05T08:22:23Z</dcterms:created>
  <dcterms:modified xsi:type="dcterms:W3CDTF">2026-08-06T15:02:44Z</dcterms:modified>
</cp:coreProperties>
</file>